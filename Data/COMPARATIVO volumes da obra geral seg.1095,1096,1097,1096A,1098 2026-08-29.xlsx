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14" documentId="13_ncr:1_{6E307988-1515-4A37-9D0C-0FB4C56A3C99}" xr6:coauthVersionLast="47" xr6:coauthVersionMax="47" xr10:uidLastSave="{1AB5D0EA-AA3D-4F6D-9429-8BFFF34C52B6}"/>
  <bookViews>
    <workbookView xWindow="-28920" yWindow="-1245" windowWidth="29040" windowHeight="15720" activeTab="1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externalReferences>
    <externalReference r:id="rId7"/>
  </externalReferences>
  <definedNames>
    <definedName name="_xlnm._FilterDatabase" localSheetId="4" hidden="1">'INTERSEÇÃO - km 746+320'!$P$1:$AE$47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L47" i="4"/>
  <c r="O45" i="4"/>
  <c r="K44" i="4"/>
  <c r="O18" i="3" l="1"/>
  <c r="X7" i="1"/>
  <c r="O24" i="3" l="1"/>
  <c r="W15" i="3"/>
  <c r="W9" i="3"/>
  <c r="W10" i="3"/>
  <c r="W11" i="3"/>
  <c r="W12" i="3"/>
  <c r="W13" i="3"/>
  <c r="W14" i="3"/>
  <c r="W16" i="3"/>
  <c r="W17" i="3"/>
  <c r="W8" i="3"/>
  <c r="M13" i="6"/>
  <c r="O12" i="6"/>
  <c r="M19" i="6"/>
  <c r="M12" i="6"/>
  <c r="M11" i="6"/>
  <c r="O11" i="6"/>
  <c r="O10" i="6"/>
  <c r="O18" i="6" s="1"/>
  <c r="M10" i="6"/>
  <c r="M8" i="3"/>
  <c r="N39" i="4"/>
  <c r="N22" i="4"/>
  <c r="N23" i="4"/>
  <c r="O13" i="6"/>
  <c r="M15" i="2"/>
  <c r="N11" i="6"/>
  <c r="N10" i="6"/>
  <c r="M18" i="6"/>
  <c r="N12" i="6"/>
  <c r="N13" i="6" l="1"/>
  <c r="N19" i="6" s="1"/>
  <c r="O19" i="6"/>
  <c r="N18" i="6"/>
  <c r="I9" i="6" l="1"/>
  <c r="O25" i="3" l="1"/>
  <c r="O7" i="6" l="1"/>
  <c r="M18" i="3"/>
  <c r="M7" i="6" s="1"/>
  <c r="P41" i="4"/>
  <c r="O9" i="6" s="1"/>
  <c r="N40" i="4"/>
  <c r="N38" i="4"/>
  <c r="N37" i="4"/>
  <c r="N36" i="4"/>
  <c r="N7" i="6" l="1"/>
  <c r="AB24" i="5"/>
  <c r="AC19" i="5"/>
  <c r="AE25" i="5"/>
  <c r="AD25" i="5"/>
  <c r="AB46" i="5"/>
  <c r="AA46" i="5"/>
  <c r="Z46" i="5"/>
  <c r="Y46" i="5"/>
  <c r="X46" i="5"/>
  <c r="P46" i="5"/>
  <c r="AC45" i="5"/>
  <c r="W45" i="5"/>
  <c r="AC44" i="5"/>
  <c r="W44" i="5"/>
  <c r="AC43" i="5"/>
  <c r="W43" i="5"/>
  <c r="AC42" i="5"/>
  <c r="W42" i="5"/>
  <c r="AC41" i="5"/>
  <c r="W41" i="5"/>
  <c r="AC40" i="5"/>
  <c r="W40" i="5"/>
  <c r="AB38" i="5"/>
  <c r="AA38" i="5"/>
  <c r="Z38" i="5"/>
  <c r="Y38" i="5"/>
  <c r="X38" i="5"/>
  <c r="P38" i="5"/>
  <c r="AC37" i="5"/>
  <c r="W37" i="5"/>
  <c r="AC36" i="5"/>
  <c r="W36" i="5"/>
  <c r="AC35" i="5"/>
  <c r="W35" i="5"/>
  <c r="AC34" i="5"/>
  <c r="W34" i="5"/>
  <c r="AC33" i="5"/>
  <c r="W33" i="5"/>
  <c r="AC32" i="5"/>
  <c r="W32" i="5"/>
  <c r="AC31" i="5"/>
  <c r="W31" i="5"/>
  <c r="AC30" i="5"/>
  <c r="W30" i="5"/>
  <c r="AC29" i="5"/>
  <c r="W29" i="5"/>
  <c r="AC28" i="5"/>
  <c r="W28" i="5"/>
  <c r="AC27" i="5"/>
  <c r="W27" i="5"/>
  <c r="AC26" i="5"/>
  <c r="W26" i="5"/>
  <c r="AA24" i="5"/>
  <c r="Y24" i="5"/>
  <c r="X24" i="5"/>
  <c r="P24" i="5"/>
  <c r="AC23" i="5"/>
  <c r="W23" i="5"/>
  <c r="AC22" i="5"/>
  <c r="W22" i="5"/>
  <c r="AC21" i="5"/>
  <c r="W21" i="5"/>
  <c r="AC20" i="5"/>
  <c r="W20" i="5"/>
  <c r="W19" i="5"/>
  <c r="AC18" i="5"/>
  <c r="W18" i="5"/>
  <c r="AC17" i="5"/>
  <c r="W17" i="5"/>
  <c r="AC16" i="5"/>
  <c r="W16" i="5"/>
  <c r="AC15" i="5"/>
  <c r="W15" i="5"/>
  <c r="AC14" i="5"/>
  <c r="W14" i="5"/>
  <c r="AC13" i="5"/>
  <c r="W13" i="5"/>
  <c r="AC12" i="5"/>
  <c r="W12" i="5"/>
  <c r="AC11" i="5"/>
  <c r="W11" i="5"/>
  <c r="AC10" i="5"/>
  <c r="W10" i="5"/>
  <c r="AC9" i="5"/>
  <c r="W9" i="5"/>
  <c r="AC8" i="5"/>
  <c r="W8" i="5"/>
  <c r="AC7" i="5"/>
  <c r="W7" i="5"/>
  <c r="X47" i="5" l="1"/>
  <c r="Y47" i="5"/>
  <c r="AC38" i="5"/>
  <c r="Z24" i="5"/>
  <c r="Z47" i="5" s="1"/>
  <c r="AC46" i="5"/>
  <c r="AA47" i="5"/>
  <c r="AB47" i="5"/>
  <c r="K26" i="6"/>
  <c r="K31" i="6"/>
  <c r="K30" i="6"/>
  <c r="K29" i="6"/>
  <c r="K28" i="6"/>
  <c r="K27" i="6"/>
  <c r="S15" i="2"/>
  <c r="O6" i="6" s="1"/>
  <c r="P15" i="2"/>
  <c r="O15" i="2"/>
  <c r="M6" i="6"/>
  <c r="L15" i="2"/>
  <c r="K15" i="2"/>
  <c r="J15" i="2"/>
  <c r="I15" i="2"/>
  <c r="AA17" i="2"/>
  <c r="AA18" i="2"/>
  <c r="AA16" i="2"/>
  <c r="P14" i="2"/>
  <c r="Q14" i="2"/>
  <c r="H14" i="2"/>
  <c r="AA8" i="2"/>
  <c r="AA9" i="2"/>
  <c r="AA12" i="2" s="1"/>
  <c r="AA10" i="2"/>
  <c r="AA7" i="2"/>
  <c r="H11" i="2"/>
  <c r="H8" i="3"/>
  <c r="W18" i="3"/>
  <c r="I7" i="6" s="1"/>
  <c r="AA19" i="2" l="1"/>
  <c r="L28" i="6" s="1"/>
  <c r="N6" i="6"/>
  <c r="AC24" i="5"/>
  <c r="AC47" i="5" s="1"/>
  <c r="L27" i="6"/>
  <c r="O41" i="4"/>
  <c r="O42" i="4" s="1"/>
  <c r="P2" i="4"/>
  <c r="P24" i="4"/>
  <c r="O8" i="6" s="1"/>
  <c r="O17" i="6" s="1"/>
  <c r="N18" i="4"/>
  <c r="H18" i="4"/>
  <c r="O2" i="3"/>
  <c r="S2" i="2"/>
  <c r="M13" i="3"/>
  <c r="M17" i="3"/>
  <c r="M27" i="6" l="1"/>
  <c r="P42" i="4"/>
  <c r="H7" i="6"/>
  <c r="H6" i="6"/>
  <c r="H5" i="6"/>
  <c r="M9" i="3"/>
  <c r="N9" i="3" s="1"/>
  <c r="M10" i="3"/>
  <c r="N10" i="3" s="1"/>
  <c r="M11" i="3"/>
  <c r="N11" i="3" s="1"/>
  <c r="M12" i="3"/>
  <c r="M14" i="3"/>
  <c r="M16" i="3"/>
  <c r="M7" i="3"/>
  <c r="H16" i="3"/>
  <c r="I45" i="3"/>
  <c r="I8" i="6" l="1"/>
  <c r="L29" i="6"/>
  <c r="M49" i="5"/>
  <c r="L30" i="6" l="1"/>
  <c r="R14" i="1"/>
  <c r="R19" i="1"/>
  <c r="H7" i="3"/>
  <c r="H9" i="3"/>
  <c r="H10" i="3"/>
  <c r="H11" i="3"/>
  <c r="H12" i="3"/>
  <c r="H13" i="3"/>
  <c r="R28" i="1"/>
  <c r="R27" i="1"/>
  <c r="R26" i="1"/>
  <c r="H28" i="1"/>
  <c r="H27" i="1"/>
  <c r="H26" i="1"/>
  <c r="N10" i="1"/>
  <c r="H10" i="1"/>
  <c r="H23" i="1"/>
  <c r="N8" i="1"/>
  <c r="O26" i="1" l="1"/>
  <c r="Q26" i="1" s="1"/>
  <c r="O27" i="1"/>
  <c r="Q27" i="1" s="1"/>
  <c r="O28" i="1"/>
  <c r="Q28" i="1" s="1"/>
  <c r="S29" i="1"/>
  <c r="H21" i="1"/>
  <c r="H16" i="1"/>
  <c r="H13" i="1"/>
  <c r="H8" i="1"/>
  <c r="I5" i="6" l="1"/>
  <c r="O5" i="6"/>
  <c r="O16" i="6" s="1"/>
  <c r="O20" i="6" s="1"/>
  <c r="R24" i="1"/>
  <c r="P8" i="2"/>
  <c r="P9" i="2"/>
  <c r="P10" i="2"/>
  <c r="P12" i="2"/>
  <c r="P13" i="2"/>
  <c r="P7" i="2"/>
  <c r="L26" i="6" l="1"/>
  <c r="I6" i="6"/>
  <c r="I10" i="6" s="1"/>
  <c r="A15" i="2"/>
  <c r="H13" i="2"/>
  <c r="H12" i="2"/>
  <c r="H10" i="2"/>
  <c r="H9" i="2"/>
  <c r="H8" i="2"/>
  <c r="H7" i="2"/>
  <c r="Q13" i="2"/>
  <c r="Q12" i="2"/>
  <c r="Q10" i="2"/>
  <c r="Q9" i="2"/>
  <c r="Q8" i="2"/>
  <c r="Q7" i="2"/>
  <c r="P29" i="1"/>
  <c r="Q12" i="1" l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5" i="6" s="1"/>
  <c r="M16" i="6" l="1"/>
  <c r="N5" i="6"/>
  <c r="N16" i="6" s="1"/>
  <c r="O29" i="1"/>
  <c r="N10" i="4" l="1"/>
  <c r="N20" i="5" l="1"/>
  <c r="AD20" i="5" s="1"/>
  <c r="AE20" i="5" s="1"/>
  <c r="N21" i="5"/>
  <c r="AD21" i="5" s="1"/>
  <c r="AE21" i="5" s="1"/>
  <c r="N22" i="5"/>
  <c r="AD22" i="5" s="1"/>
  <c r="AE22" i="5" s="1"/>
  <c r="N23" i="5"/>
  <c r="AD23" i="5" s="1"/>
  <c r="AE23" i="5" s="1"/>
  <c r="K24" i="5"/>
  <c r="H23" i="5"/>
  <c r="H22" i="5"/>
  <c r="H21" i="5"/>
  <c r="H20" i="5"/>
  <c r="K24" i="4"/>
  <c r="H23" i="4"/>
  <c r="H22" i="4"/>
  <c r="N21" i="4"/>
  <c r="H21" i="4"/>
  <c r="N20" i="4"/>
  <c r="H20" i="4"/>
  <c r="N19" i="4"/>
  <c r="H19" i="4"/>
  <c r="H41" i="5" l="1"/>
  <c r="H42" i="5"/>
  <c r="H43" i="5"/>
  <c r="H44" i="5"/>
  <c r="H45" i="5"/>
  <c r="L46" i="5"/>
  <c r="M46" i="5"/>
  <c r="K46" i="5"/>
  <c r="J46" i="5"/>
  <c r="I46" i="5"/>
  <c r="A46" i="5"/>
  <c r="N45" i="5"/>
  <c r="N44" i="5"/>
  <c r="N43" i="5"/>
  <c r="N42" i="5"/>
  <c r="N41" i="5"/>
  <c r="N40" i="5"/>
  <c r="H40" i="5"/>
  <c r="N46" i="5" l="1"/>
  <c r="M21" i="3"/>
  <c r="M22" i="3"/>
  <c r="M23" i="3"/>
  <c r="M20" i="3"/>
  <c r="N27" i="4"/>
  <c r="N28" i="4"/>
  <c r="N29" i="4"/>
  <c r="N30" i="4"/>
  <c r="N31" i="4"/>
  <c r="N32" i="4"/>
  <c r="N33" i="4"/>
  <c r="N34" i="4"/>
  <c r="N35" i="4"/>
  <c r="N26" i="4"/>
  <c r="N8" i="4"/>
  <c r="N9" i="4"/>
  <c r="N11" i="4"/>
  <c r="N12" i="4"/>
  <c r="N13" i="4"/>
  <c r="N14" i="4"/>
  <c r="N15" i="4"/>
  <c r="N16" i="4"/>
  <c r="N17" i="4"/>
  <c r="N7" i="4"/>
  <c r="N27" i="5"/>
  <c r="AD27" i="5" s="1"/>
  <c r="AE27" i="5" s="1"/>
  <c r="N28" i="5"/>
  <c r="AD28" i="5" s="1"/>
  <c r="AE28" i="5" s="1"/>
  <c r="N29" i="5"/>
  <c r="AD29" i="5" s="1"/>
  <c r="AE29" i="5" s="1"/>
  <c r="N30" i="5"/>
  <c r="AD30" i="5" s="1"/>
  <c r="AE30" i="5" s="1"/>
  <c r="N31" i="5"/>
  <c r="AD31" i="5" s="1"/>
  <c r="AE31" i="5" s="1"/>
  <c r="N32" i="5"/>
  <c r="AD32" i="5" s="1"/>
  <c r="AE32" i="5" s="1"/>
  <c r="N33" i="5"/>
  <c r="AD33" i="5" s="1"/>
  <c r="AE33" i="5" s="1"/>
  <c r="N34" i="5"/>
  <c r="AD34" i="5" s="1"/>
  <c r="AE34" i="5" s="1"/>
  <c r="N35" i="5"/>
  <c r="AD35" i="5" s="1"/>
  <c r="AE35" i="5" s="1"/>
  <c r="N36" i="5"/>
  <c r="AD36" i="5" s="1"/>
  <c r="AE36" i="5" s="1"/>
  <c r="N37" i="5"/>
  <c r="AD37" i="5" s="1"/>
  <c r="AE37" i="5" s="1"/>
  <c r="N26" i="5"/>
  <c r="AD26" i="5" s="1"/>
  <c r="AE26" i="5" s="1"/>
  <c r="N8" i="5"/>
  <c r="AD8" i="5" s="1"/>
  <c r="AE8" i="5" s="1"/>
  <c r="N9" i="5"/>
  <c r="AD9" i="5" s="1"/>
  <c r="AE9" i="5" s="1"/>
  <c r="N10" i="5"/>
  <c r="AD10" i="5" s="1"/>
  <c r="AE10" i="5" s="1"/>
  <c r="N11" i="5"/>
  <c r="AD11" i="5" s="1"/>
  <c r="AE11" i="5" s="1"/>
  <c r="N12" i="5"/>
  <c r="AD12" i="5" s="1"/>
  <c r="AE12" i="5" s="1"/>
  <c r="N13" i="5"/>
  <c r="AD13" i="5" s="1"/>
  <c r="AE13" i="5" s="1"/>
  <c r="N14" i="5"/>
  <c r="AD14" i="5" s="1"/>
  <c r="AE14" i="5" s="1"/>
  <c r="N15" i="5"/>
  <c r="AD15" i="5" s="1"/>
  <c r="AE15" i="5" s="1"/>
  <c r="N16" i="5"/>
  <c r="AD16" i="5" s="1"/>
  <c r="AE16" i="5" s="1"/>
  <c r="N17" i="5"/>
  <c r="AD17" i="5" s="1"/>
  <c r="AE17" i="5" s="1"/>
  <c r="N18" i="5"/>
  <c r="AD18" i="5" s="1"/>
  <c r="AE18" i="5" s="1"/>
  <c r="N19" i="5"/>
  <c r="AD19" i="5" s="1"/>
  <c r="AE19" i="5" s="1"/>
  <c r="N7" i="5"/>
  <c r="AD7" i="5" s="1"/>
  <c r="AE7" i="5" s="1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N24" i="4" l="1"/>
  <c r="M8" i="6" s="1"/>
  <c r="L38" i="5"/>
  <c r="I38" i="5"/>
  <c r="M38" i="5"/>
  <c r="J38" i="5"/>
  <c r="I24" i="5"/>
  <c r="K38" i="5"/>
  <c r="L24" i="5"/>
  <c r="J24" i="5"/>
  <c r="M24" i="5"/>
  <c r="N8" i="6" l="1"/>
  <c r="N24" i="5"/>
  <c r="AD24" i="5" s="1"/>
  <c r="AE24" i="5" s="1"/>
  <c r="K47" i="5"/>
  <c r="L47" i="5"/>
  <c r="I47" i="5"/>
  <c r="M47" i="5"/>
  <c r="J47" i="5"/>
  <c r="N38" i="5"/>
  <c r="AD38" i="5" s="1"/>
  <c r="AE38" i="5" s="1"/>
  <c r="N47" i="5" l="1"/>
  <c r="L31" i="6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L32" i="6" l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M9" i="6" s="1"/>
  <c r="N9" i="6" l="1"/>
  <c r="N17" i="6" s="1"/>
  <c r="N20" i="6" s="1"/>
  <c r="M17" i="6"/>
  <c r="M20" i="6" s="1"/>
  <c r="N42" i="4"/>
  <c r="I24" i="3" l="1"/>
  <c r="J24" i="3"/>
  <c r="K24" i="3"/>
  <c r="L24" i="3"/>
  <c r="A24" i="3"/>
  <c r="I18" i="3"/>
  <c r="J18" i="3"/>
  <c r="K18" i="3"/>
  <c r="K25" i="3" s="1"/>
  <c r="L18" i="3"/>
  <c r="H14" i="3"/>
  <c r="H15" i="3"/>
  <c r="H17" i="3"/>
  <c r="L25" i="3" l="1"/>
  <c r="J25" i="3"/>
  <c r="I25" i="3"/>
  <c r="M24" i="3"/>
  <c r="M25" i="3" s="1"/>
  <c r="A18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<sst xmlns="http://schemas.openxmlformats.org/spreadsheetml/2006/main" count="708" uniqueCount="128">
  <si>
    <t>RESUMO DA TERRAPLENAGEM POR EIXO DE PROJETO</t>
  </si>
  <si>
    <t>Projeto:1095 km 701+000 ao km714+000</t>
  </si>
  <si>
    <t>BR-163/MT</t>
  </si>
  <si>
    <t>ATUALIZAÇÃO :</t>
  </si>
  <si>
    <t>Localização</t>
  </si>
  <si>
    <t>Estaca</t>
  </si>
  <si>
    <t>Extensão              
(m)</t>
  </si>
  <si>
    <t>Volumes</t>
  </si>
  <si>
    <t>agosto</t>
  </si>
  <si>
    <t>Escavação</t>
  </si>
  <si>
    <t>PRIMITIVO</t>
  </si>
  <si>
    <t>EXECUTADO</t>
  </si>
  <si>
    <t>Saldo Total Aterro
(m³)</t>
  </si>
  <si>
    <t>Início</t>
  </si>
  <si>
    <t>Final</t>
  </si>
  <si>
    <t>Corte 1ª            
(m³)</t>
  </si>
  <si>
    <t>Rebaixo do Subleito
(m³)</t>
  </si>
  <si>
    <t>Aterro (Corpo)
(m³)</t>
  </si>
  <si>
    <t>Aterro (Rebaixo do Subleito)
(m³)</t>
  </si>
  <si>
    <t>Total Aterro
(m³)</t>
  </si>
  <si>
    <t xml:space="preserve"> Aterro (Corpo)
(m³)</t>
  </si>
  <si>
    <t>%</t>
  </si>
  <si>
    <t>RODOVIA</t>
  </si>
  <si>
    <t xml:space="preserve"> BR-163-MT-Pista Sul - Duplicação</t>
  </si>
  <si>
    <t>+</t>
  </si>
  <si>
    <t>GALERIA.3000X3000</t>
  </si>
  <si>
    <t>SÓ ATERRO</t>
  </si>
  <si>
    <t>GALERIA.3500X3500</t>
  </si>
  <si>
    <t>RETORNO</t>
  </si>
  <si>
    <t>Projeto:1095 km 701+000 ao km713+500</t>
  </si>
  <si>
    <t>vol. seg-03 732+00_736+380 sul</t>
  </si>
  <si>
    <t xml:space="preserve"> BR-163-MT-Pista norte Restauração</t>
  </si>
  <si>
    <t>vol. seg-03 732+000 ao 734+220 norte</t>
  </si>
  <si>
    <t>Projeto:1097 km 736+640 ao km 745+500</t>
  </si>
  <si>
    <t>Compactação</t>
  </si>
  <si>
    <t>Aterro (Acabamento)
(m³)</t>
  </si>
  <si>
    <t>vol. seg-03 736+640_745+515</t>
  </si>
  <si>
    <t>ACESSOS</t>
  </si>
  <si>
    <t>Acesso km 742+440 - RA</t>
  </si>
  <si>
    <t>Acesso km 742+440 - RB</t>
  </si>
  <si>
    <t>Acesso km 743+830 - RA</t>
  </si>
  <si>
    <t>Acesso km 743+830 - RB</t>
  </si>
  <si>
    <t>TOTAL GERAL</t>
  </si>
  <si>
    <t>Projeto:</t>
  </si>
  <si>
    <t>Total Aterro 
(m³)</t>
  </si>
  <si>
    <t>INTERSEÇÃO - km 713+700</t>
  </si>
  <si>
    <t>Ramo 100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</si>
  <si>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</si>
  <si>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</si>
  <si>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</si>
  <si>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</si>
  <si>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</si>
  <si>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</si>
  <si>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</si>
  <si>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</si>
  <si>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</si>
  <si>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REBAIXOMENTO DO INT.km.713+700 R.100.ENCONTRO-0</t>
  </si>
  <si>
    <t>REBAIXOMENTO DO INT.km.713+700 R.100.ENCONTRO-1</t>
  </si>
  <si>
    <t>REBAIXOMENTO DO INT.km.713+700 R.100.ENCONTRO-2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</si>
  <si>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</si>
  <si>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</si>
  <si>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</si>
  <si>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</si>
  <si>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</si>
  <si>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</si>
  <si>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</si>
  <si>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</si>
  <si>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</si>
  <si>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</si>
  <si>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</si>
  <si>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</si>
  <si>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</si>
  <si>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</si>
  <si>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</si>
  <si>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</si>
  <si>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RESUMO DA TERRAPLENAGEM POR EIXO DE PROJETO revisão 01</t>
  </si>
  <si>
    <t>Volume</t>
  </si>
  <si>
    <t>COMPARATIVO</t>
  </si>
  <si>
    <t xml:space="preserve">diferença </t>
  </si>
  <si>
    <t>OBS:</t>
  </si>
  <si>
    <t>INTERSEÇÃO - km 746+320</t>
  </si>
  <si>
    <t>Rodovia BR-163/MT</t>
  </si>
  <si>
    <t>AJUSTE DE GREIDE</t>
  </si>
  <si>
    <t>MUDANÇA DE TN</t>
  </si>
  <si>
    <t>Ramo 200</t>
  </si>
  <si>
    <t>Acesso MT-560-RA</t>
  </si>
  <si>
    <t>Acesso MT-560-RB</t>
  </si>
  <si>
    <t>REBAIXOMENTO DOINTERSEÇÃO - km 746+320</t>
  </si>
  <si>
    <t>NV.ESTUDO DE REIBAIXAMENTO</t>
  </si>
  <si>
    <t>REMOVIDO DO REBAIXAMENTO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</si>
  <si>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</si>
  <si>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</si>
  <si>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</si>
  <si>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</si>
  <si>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</si>
  <si>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</si>
  <si>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</si>
  <si>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</si>
  <si>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</si>
  <si>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</si>
  <si>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Acesso km 755+250</t>
  </si>
  <si>
    <t>TOTAL -GERAL</t>
  </si>
  <si>
    <t>JUNHO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</si>
  <si>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</si>
  <si>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</si>
  <si>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</si>
  <si>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</si>
  <si>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</si>
  <si>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</si>
  <si>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</si>
  <si>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</si>
  <si>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INTERSEÇÃO - km 713+700 PRIMAVERA</t>
  </si>
  <si>
    <t>Dispositivo Primavera</t>
  </si>
  <si>
    <t>INTERSEÇÃO - km 746+320 SORRISO</t>
  </si>
  <si>
    <t>Marginais Primavera</t>
  </si>
  <si>
    <t>Dispositivo Sorriso</t>
  </si>
  <si>
    <t>Marginais Sorriso</t>
  </si>
  <si>
    <t>Acesso Km 755</t>
  </si>
  <si>
    <t>Acesso Km 743-742</t>
  </si>
  <si>
    <t>Total dos Segmentos</t>
  </si>
  <si>
    <t>Total de Primavera</t>
  </si>
  <si>
    <t>Total de Sorriso</t>
  </si>
  <si>
    <t>Acessos</t>
  </si>
  <si>
    <t>Volume Total</t>
  </si>
  <si>
    <t>Trecho</t>
  </si>
  <si>
    <t>Saldo Aterro (m³)</t>
  </si>
  <si>
    <t>TOTAL</t>
  </si>
  <si>
    <t>mudaça de greide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</si>
</sst>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;[Red]#,##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</cellStyleXfs>
  <cellXfs count="281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1" fillId="10" borderId="69" xfId="1" applyFill="1" applyBorder="1" applyAlignment="1">
      <alignment horizontal="center" vertical="center"/>
    </xf>
    <xf numFmtId="164" fontId="1" fillId="10" borderId="69" xfId="1" applyNumberFormat="1" applyFill="1" applyBorder="1" applyAlignment="1">
      <alignment horizontal="center" vertical="center"/>
    </xf>
    <xf numFmtId="165" fontId="1" fillId="10" borderId="69" xfId="1" applyNumberFormat="1" applyFill="1" applyBorder="1" applyAlignment="1">
      <alignment horizontal="center" vertical="center"/>
    </xf>
    <xf numFmtId="0" fontId="1" fillId="11" borderId="69" xfId="1" applyFill="1" applyBorder="1" applyAlignment="1">
      <alignment horizontal="center" vertical="center"/>
    </xf>
    <xf numFmtId="164" fontId="1" fillId="11" borderId="69" xfId="1" applyNumberFormat="1" applyFill="1" applyBorder="1" applyAlignment="1">
      <alignment horizontal="center" vertical="center"/>
    </xf>
    <xf numFmtId="165" fontId="1" fillId="11" borderId="69" xfId="1" applyNumberFormat="1" applyFill="1" applyBorder="1" applyAlignment="1">
      <alignment horizontal="center" vertical="center"/>
    </xf>
    <xf numFmtId="0" fontId="1" fillId="12" borderId="69" xfId="1" applyFill="1" applyBorder="1" applyAlignment="1">
      <alignment horizontal="center" vertical="center"/>
    </xf>
    <xf numFmtId="164" fontId="1" fillId="12" borderId="69" xfId="1" applyNumberFormat="1" applyFill="1" applyBorder="1" applyAlignment="1">
      <alignment horizontal="center" vertical="center"/>
    </xf>
    <xf numFmtId="165" fontId="1" fillId="12" borderId="69" xfId="1" applyNumberForma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4" fontId="1" fillId="10" borderId="72" xfId="1" applyNumberFormat="1" applyFill="1" applyBorder="1" applyAlignment="1">
      <alignment horizontal="center" vertical="center"/>
    </xf>
    <xf numFmtId="4" fontId="1" fillId="11" borderId="72" xfId="1" applyNumberFormat="1" applyFill="1" applyBorder="1" applyAlignment="1">
      <alignment horizontal="center" vertical="center"/>
    </xf>
    <xf numFmtId="4" fontId="1" fillId="12" borderId="72" xfId="1" applyNumberForma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0" fillId="7" borderId="66" xfId="0" applyFill="1" applyBorder="1" applyAlignment="1">
      <alignment horizontal="center"/>
    </xf>
    <xf numFmtId="0" fontId="1" fillId="7" borderId="69" xfId="1" applyFill="1" applyBorder="1" applyAlignment="1">
      <alignment horizontal="center" vertical="center"/>
    </xf>
    <xf numFmtId="164" fontId="1" fillId="7" borderId="69" xfId="1" applyNumberFormat="1" applyFill="1" applyBorder="1" applyAlignment="1">
      <alignment horizontal="center" vertical="center"/>
    </xf>
    <xf numFmtId="165" fontId="1" fillId="7" borderId="69" xfId="1" applyNumberFormat="1" applyFill="1" applyBorder="1" applyAlignment="1">
      <alignment horizontal="center" vertical="center"/>
    </xf>
    <xf numFmtId="4" fontId="1" fillId="7" borderId="72" xfId="1" applyNumberForma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4" fontId="0" fillId="3" borderId="19" xfId="0" applyNumberFormat="1" applyFill="1" applyBorder="1" applyAlignment="1">
      <alignment horizontal="center"/>
    </xf>
    <xf numFmtId="0" fontId="6" fillId="13" borderId="23" xfId="1" applyFont="1" applyFill="1" applyBorder="1" applyAlignment="1">
      <alignment horizontal="left" vertical="center"/>
    </xf>
    <xf numFmtId="0" fontId="6" fillId="13" borderId="24" xfId="1" applyFont="1" applyFill="1" applyBorder="1" applyAlignment="1">
      <alignment horizontal="center" vertical="center"/>
    </xf>
    <xf numFmtId="0" fontId="6" fillId="13" borderId="25" xfId="1" applyFont="1" applyFill="1" applyBorder="1" applyAlignment="1">
      <alignment horizontal="center" vertical="center"/>
    </xf>
    <xf numFmtId="164" fontId="6" fillId="13" borderId="26" xfId="1" applyNumberFormat="1" applyFont="1" applyFill="1" applyBorder="1" applyAlignment="1">
      <alignment horizontal="center" vertical="center"/>
    </xf>
    <xf numFmtId="165" fontId="6" fillId="13" borderId="24" xfId="1" applyNumberFormat="1" applyFont="1" applyFill="1" applyBorder="1" applyAlignment="1">
      <alignment horizontal="center" vertical="center"/>
    </xf>
    <xf numFmtId="165" fontId="6" fillId="13" borderId="27" xfId="1" applyNumberFormat="1" applyFont="1" applyFill="1" applyBorder="1" applyAlignment="1">
      <alignment horizontal="center" vertical="center"/>
    </xf>
    <xf numFmtId="4" fontId="6" fillId="13" borderId="27" xfId="1" applyNumberFormat="1" applyFont="1" applyFill="1" applyBorder="1" applyAlignment="1">
      <alignment horizontal="center" vertical="center"/>
    </xf>
    <xf numFmtId="0" fontId="0" fillId="13" borderId="0" xfId="0" applyFill="1"/>
    <xf numFmtId="9" fontId="0" fillId="13" borderId="54" xfId="4" applyFont="1" applyFill="1" applyBorder="1" applyAlignment="1">
      <alignment horizontal="center"/>
    </xf>
    <xf numFmtId="4" fontId="6" fillId="13" borderId="28" xfId="1" applyNumberFormat="1" applyFont="1" applyFill="1" applyBorder="1" applyAlignment="1">
      <alignment horizontal="center" vertical="center"/>
    </xf>
    <xf numFmtId="0" fontId="6" fillId="13" borderId="37" xfId="1" applyFont="1" applyFill="1" applyBorder="1" applyAlignment="1">
      <alignment horizontal="left" vertical="center"/>
    </xf>
    <xf numFmtId="0" fontId="6" fillId="13" borderId="38" xfId="1" applyFont="1" applyFill="1" applyBorder="1" applyAlignment="1">
      <alignment horizontal="center" vertical="center"/>
    </xf>
    <xf numFmtId="0" fontId="6" fillId="13" borderId="39" xfId="1" applyFont="1" applyFill="1" applyBorder="1" applyAlignment="1">
      <alignment horizontal="center" vertical="center"/>
    </xf>
    <xf numFmtId="164" fontId="6" fillId="13" borderId="40" xfId="1" applyNumberFormat="1" applyFont="1" applyFill="1" applyBorder="1" applyAlignment="1">
      <alignment horizontal="center" vertical="center"/>
    </xf>
    <xf numFmtId="165" fontId="6" fillId="13" borderId="38" xfId="1" applyNumberFormat="1" applyFont="1" applyFill="1" applyBorder="1" applyAlignment="1">
      <alignment horizontal="center" vertical="center"/>
    </xf>
    <xf numFmtId="165" fontId="6" fillId="13" borderId="41" xfId="1" applyNumberFormat="1" applyFont="1" applyFill="1" applyBorder="1" applyAlignment="1">
      <alignment horizontal="center" vertical="center"/>
    </xf>
    <xf numFmtId="4" fontId="6" fillId="13" borderId="41" xfId="1" applyNumberFormat="1" applyFont="1" applyFill="1" applyBorder="1" applyAlignment="1">
      <alignment horizontal="center" vertical="center"/>
    </xf>
    <xf numFmtId="4" fontId="0" fillId="13" borderId="0" xfId="0" applyNumberFormat="1" applyFill="1" applyAlignment="1">
      <alignment horizontal="center"/>
    </xf>
    <xf numFmtId="4" fontId="6" fillId="13" borderId="42" xfId="1" applyNumberFormat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165" fontId="7" fillId="4" borderId="0" xfId="1" applyNumberFormat="1" applyFont="1" applyFill="1" applyAlignment="1">
      <alignment horizontal="center" vertical="center"/>
    </xf>
    <xf numFmtId="4" fontId="6" fillId="0" borderId="69" xfId="1" applyNumberFormat="1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4" fontId="6" fillId="0" borderId="72" xfId="1" applyNumberFormat="1" applyFont="1" applyBorder="1" applyAlignment="1">
      <alignment horizontal="center" vertical="center"/>
    </xf>
    <xf numFmtId="165" fontId="7" fillId="14" borderId="66" xfId="1" applyNumberFormat="1" applyFont="1" applyFill="1" applyBorder="1" applyAlignment="1">
      <alignment horizontal="center" vertical="center"/>
    </xf>
    <xf numFmtId="165" fontId="7" fillId="14" borderId="18" xfId="1" applyNumberFormat="1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/>
    </xf>
    <xf numFmtId="165" fontId="7" fillId="4" borderId="19" xfId="1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5" fillId="8" borderId="0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69" xfId="1" applyFont="1" applyFill="1" applyBorder="1" applyAlignment="1">
      <alignment horizontal="center" vertical="center"/>
    </xf>
    <xf numFmtId="4" fontId="6" fillId="8" borderId="69" xfId="1" applyNumberFormat="1" applyFont="1" applyFill="1" applyBorder="1" applyAlignment="1">
      <alignment horizontal="center" vertical="center"/>
    </xf>
    <xf numFmtId="4" fontId="6" fillId="8" borderId="38" xfId="1" applyNumberFormat="1" applyFont="1" applyFill="1" applyBorder="1" applyAlignment="1">
      <alignment horizontal="center" vertical="center"/>
    </xf>
    <xf numFmtId="3" fontId="1" fillId="8" borderId="4" xfId="1" applyNumberFormat="1" applyFill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8" borderId="69" xfId="1" applyNumberFormat="1" applyFill="1" applyBorder="1" applyAlignment="1">
      <alignment horizontal="center" vertical="center"/>
    </xf>
    <xf numFmtId="3" fontId="1" fillId="0" borderId="69" xfId="1" applyNumberFormat="1" applyBorder="1" applyAlignment="1">
      <alignment horizontal="center" vertical="center"/>
    </xf>
    <xf numFmtId="0" fontId="5" fillId="10" borderId="32" xfId="1" applyFont="1" applyFill="1" applyBorder="1" applyAlignment="1">
      <alignment vertical="center" wrapText="1"/>
    </xf>
    <xf numFmtId="0" fontId="0" fillId="15" borderId="29" xfId="0" applyFill="1" applyBorder="1"/>
    <xf numFmtId="0" fontId="0" fillId="15" borderId="30" xfId="0" applyFill="1" applyBorder="1"/>
    <xf numFmtId="0" fontId="0" fillId="15" borderId="32" xfId="0" applyFill="1" applyBorder="1"/>
    <xf numFmtId="4" fontId="6" fillId="13" borderId="73" xfId="1" applyNumberFormat="1" applyFont="1" applyFill="1" applyBorder="1" applyAlignment="1">
      <alignment horizontal="center" vertical="center"/>
    </xf>
    <xf numFmtId="0" fontId="13" fillId="0" borderId="0" xfId="0" applyFont="1"/>
    <xf numFmtId="0" fontId="13" fillId="16" borderId="0" xfId="0" applyFont="1" applyFill="1" applyAlignment="1">
      <alignment horizontal="center"/>
    </xf>
    <xf numFmtId="3" fontId="0" fillId="0" borderId="0" xfId="0" applyNumberFormat="1"/>
    <xf numFmtId="3" fontId="13" fillId="0" borderId="0" xfId="0" applyNumberFormat="1" applyFont="1"/>
    <xf numFmtId="0" fontId="0" fillId="17" borderId="0" xfId="0" applyFill="1"/>
    <xf numFmtId="0" fontId="0" fillId="0" borderId="69" xfId="0" applyBorder="1"/>
    <xf numFmtId="0" fontId="5" fillId="18" borderId="69" xfId="1" applyFont="1" applyFill="1" applyBorder="1" applyAlignment="1">
      <alignment horizontal="center" vertical="center" wrapText="1"/>
    </xf>
    <xf numFmtId="165" fontId="6" fillId="19" borderId="69" xfId="1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5" fillId="0" borderId="67" xfId="1" applyFont="1" applyBorder="1" applyAlignment="1">
      <alignment horizontal="center" vertical="center" wrapText="1"/>
    </xf>
    <xf numFmtId="4" fontId="10" fillId="0" borderId="49" xfId="1" applyNumberFormat="1" applyFont="1" applyBorder="1" applyAlignment="1">
      <alignment horizontal="centerContinuous" vertical="center"/>
    </xf>
    <xf numFmtId="165" fontId="0" fillId="0" borderId="69" xfId="0" applyNumberFormat="1" applyBorder="1" applyAlignment="1">
      <alignment horizontal="center"/>
    </xf>
    <xf numFmtId="165" fontId="0" fillId="20" borderId="69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165" fontId="6" fillId="20" borderId="35" xfId="1" applyNumberFormat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65" fontId="0" fillId="2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21" borderId="74" xfId="0" applyNumberFormat="1" applyFill="1" applyBorder="1" applyAlignment="1">
      <alignment horizontal="center"/>
    </xf>
    <xf numFmtId="165" fontId="15" fillId="21" borderId="33" xfId="0" applyNumberFormat="1" applyFont="1" applyFill="1" applyBorder="1" applyAlignment="1">
      <alignment horizontal="center"/>
    </xf>
    <xf numFmtId="165" fontId="0" fillId="20" borderId="35" xfId="0" applyNumberFormat="1" applyFill="1" applyBorder="1" applyAlignment="1">
      <alignment horizontal="center"/>
    </xf>
    <xf numFmtId="4" fontId="6" fillId="0" borderId="76" xfId="1" applyNumberFormat="1" applyFont="1" applyBorder="1" applyAlignment="1">
      <alignment horizontal="center" vertical="center"/>
    </xf>
    <xf numFmtId="0" fontId="7" fillId="5" borderId="77" xfId="1" applyFont="1" applyFill="1" applyBorder="1" applyAlignment="1">
      <alignment vertical="center"/>
    </xf>
    <xf numFmtId="0" fontId="7" fillId="5" borderId="44" xfId="1" applyFont="1" applyFill="1" applyBorder="1" applyAlignment="1">
      <alignment vertical="center"/>
    </xf>
    <xf numFmtId="0" fontId="7" fillId="5" borderId="78" xfId="1" applyFont="1" applyFill="1" applyBorder="1" applyAlignment="1">
      <alignment vertical="center"/>
    </xf>
    <xf numFmtId="165" fontId="7" fillId="5" borderId="75" xfId="1" applyNumberFormat="1" applyFont="1" applyFill="1" applyBorder="1" applyAlignment="1">
      <alignment horizontal="center" vertical="center"/>
    </xf>
    <xf numFmtId="166" fontId="0" fillId="0" borderId="69" xfId="0" applyNumberFormat="1" applyBorder="1" applyAlignment="1">
      <alignment horizontal="center"/>
    </xf>
    <xf numFmtId="4" fontId="0" fillId="22" borderId="0" xfId="0" applyNumberFormat="1" applyFill="1"/>
    <xf numFmtId="0" fontId="0" fillId="0" borderId="69" xfId="0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3" borderId="69" xfId="1" applyFont="1" applyFill="1" applyBorder="1" applyAlignment="1">
      <alignment horizontal="center" vertical="center"/>
    </xf>
    <xf numFmtId="0" fontId="5" fillId="3" borderId="72" xfId="1" applyFont="1" applyFill="1" applyBorder="1" applyAlignment="1">
      <alignment horizontal="center" vertical="center"/>
    </xf>
    <xf numFmtId="0" fontId="5" fillId="7" borderId="71" xfId="1" applyFont="1" applyFill="1" applyBorder="1" applyAlignment="1">
      <alignment horizontal="center" vertical="center" wrapText="1"/>
    </xf>
    <xf numFmtId="0" fontId="5" fillId="7" borderId="72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4" fontId="5" fillId="0" borderId="68" xfId="1" applyNumberFormat="1" applyFont="1" applyBorder="1" applyAlignment="1">
      <alignment horizontal="center" vertical="center" wrapText="1"/>
    </xf>
    <xf numFmtId="4" fontId="5" fillId="0" borderId="69" xfId="1" applyNumberFormat="1" applyFont="1" applyBorder="1" applyAlignment="1">
      <alignment horizontal="center" vertical="center" wrapText="1"/>
    </xf>
    <xf numFmtId="0" fontId="0" fillId="7" borderId="50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5" fillId="10" borderId="29" xfId="1" applyFont="1" applyFill="1" applyBorder="1" applyAlignment="1">
      <alignment horizontal="center" vertical="center" wrapText="1"/>
    </xf>
    <xf numFmtId="0" fontId="5" fillId="10" borderId="30" xfId="1" applyFont="1" applyFill="1" applyBorder="1" applyAlignment="1">
      <alignment horizontal="center" vertical="center" wrapText="1"/>
    </xf>
    <xf numFmtId="0" fontId="5" fillId="10" borderId="32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</cellXfs>
  <cellStyles count="5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Aterro a Executar (Saldo) - 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DE VOLUMES'!$L$25</c:f>
              <c:strCache>
                <c:ptCount val="1"/>
                <c:pt idx="0">
                  <c:v>Saldo Aterro (m³)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 VOLUMES'!$K$26:$K$31</c:f>
              <c:strCache>
                <c:ptCount val="6"/>
                <c:pt idx="0">
                  <c:v>Seg-01: 701+000 ao 713+500</c:v>
                </c:pt>
                <c:pt idx="1">
                  <c:v>Seg-02 Sul: 732+000 ao 736+380</c:v>
                </c:pt>
                <c:pt idx="2">
                  <c:v>Seg-02 Norte: 732+000 ao 734+220</c:v>
                </c:pt>
                <c:pt idx="3">
                  <c:v>Seg-03: 736+000 ao 745+500</c:v>
                </c:pt>
                <c:pt idx="4">
                  <c:v>INTERSEÇÃO - km 713+700 PRIMAVERA</c:v>
                </c:pt>
                <c:pt idx="5">
                  <c:v>INTERSEÇÃO - km 746+320 SORRISO</c:v>
                </c:pt>
              </c:strCache>
            </c:strRef>
          </c:cat>
          <c:val>
            <c:numRef>
              <c:f>'RESUMO DE VOLUMES'!$L$26:$L$31</c:f>
              <c:numCache>
                <c:formatCode>#,##0</c:formatCode>
                <c:ptCount val="6"/>
                <c:pt idx="0">
                  <c:v>24085.1</c:v>
                </c:pt>
                <c:pt idx="1">
                  <c:v>10595.9</c:v>
                </c:pt>
                <c:pt idx="2">
                  <c:v>15972.099999999999</c:v>
                </c:pt>
                <c:pt idx="3">
                  <c:v>29390.399999999998</c:v>
                </c:pt>
                <c:pt idx="4">
                  <c:v>45277.009999999995</c:v>
                </c:pt>
                <c:pt idx="5">
                  <c:v>96981.551325000008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2-4F62-8560-1A0E58EE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39664"/>
        <c:axId val="743740624"/>
      </c:barChart>
      <c:catAx>
        <c:axId val="74373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3740624"/>
        <c:crosses val="autoZero"/>
        <c:auto val="1"/>
        <c:lblAlgn val="ctr"/>
        <c:lblOffset val="100"/>
        <c:noMultiLvlLbl val="0"/>
      </c:catAx>
      <c:valAx>
        <c:axId val="743740624"/>
        <c:scaling>
          <c:orientation val="minMax"/>
        </c:scaling>
        <c:delete val="1"/>
        <c:axPos val="b"/>
        <c:numFmt formatCode="#.##0" sourceLinked="0"/>
        <c:majorTickMark val="none"/>
        <c:minorTickMark val="none"/>
        <c:tickLblPos val="nextTo"/>
        <c:crossAx val="743739664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17</xdr:row>
      <xdr:rowOff>139065</xdr:rowOff>
    </xdr:from>
    <xdr:to>
      <xdr:col>8</xdr:col>
      <xdr:colOff>895350</xdr:colOff>
      <xdr:row>37</xdr:row>
      <xdr:rowOff>148590</xdr:rowOff>
    </xdr:to>
    <xdr:graphicFrame macro="">
      <xdr:nvGraphicFramePr>
        <xdr:cNvPr id="2" name="SaldoAterro">
          <a:extLst>
            <a:ext uri="{FF2B5EF4-FFF2-40B4-BE49-F238E27FC236}">
              <a16:creationId xmlns:a16="http://schemas.microsoft.com/office/drawing/2014/main" id="{A40AF8BE-1FD7-AF0E-5094-C9689ADF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anchestripolonicombr-my.sharepoint.com/personal/kamilabarroso_tripoloni_com/Documents/421%20-%20LRV_SORRISO/00-PLANEJAMENTO/09%20-%20Se&#231;&#227;o%20T&#233;cnica/03%20-%20Volumes%20dos%20trechos/COMPARATIVO%20volumes%20da%20obra%20geral%20seg.1095,1096,1097,1096A,1098%202026-08-22.xlsx" TargetMode="External"/><Relationship Id="rId2" Type="http://schemas.microsoft.com/office/2019/04/relationships/externalLinkLongPath" Target="COMPARATIVO%20volumes%20da%20obra%20geral%20seg.1095,1096,1097,1096A,1098%202026-08-22.xlsx?360E5D7A" TargetMode="External"/><Relationship Id="rId1" Type="http://schemas.openxmlformats.org/officeDocument/2006/relationships/externalLinkPath" Target="file:///\\360E5D7A\COMPARATIVO%20volumes%20da%20obra%20geral%20seg.1095,1096,1097,1096A,1098%202026-08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EGMENTO-01"/>
      <sheetName val="SEGMENTO-02"/>
      <sheetName val="nv. greide SEGMENTO-03"/>
      <sheetName val="INTERSEÇÃO - km 713+700"/>
      <sheetName val="INTERSEÇÃO - km 746+320"/>
      <sheetName val="RESUMO DE VOLUMES"/>
    </sheetNames>
    <sheetDataSet>
      <sheetData sheetId="0"/>
      <sheetData sheetId="1"/>
      <sheetData sheetId="2"/>
      <sheetData sheetId="3">
        <row r="42">
          <cell r="P42">
            <v>46403.11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C1FE9F-2527-47EF-BD3F-AE091DB0EF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f03119-e552-4c4d-8d32-f7ee8900327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X34"/>
  <sheetViews>
    <sheetView workbookViewId="0">
      <selection activeCell="V6" sqref="V6"/>
    </sheetView>
  </sheetViews>
  <sheetFormatPr defaultRowHeight="14.4" x14ac:dyDescent="0.3"/>
  <cols>
    <col min="1" max="1" width="40.33203125" bestFit="1" customWidth="1"/>
    <col min="2" max="2" width="11.33203125" bestFit="1" customWidth="1"/>
    <col min="3" max="3" width="1.6640625" bestFit="1" customWidth="1"/>
    <col min="4" max="4" width="6.5546875" bestFit="1" customWidth="1"/>
    <col min="5" max="5" width="10" customWidth="1"/>
    <col min="6" max="6" width="1.6640625" bestFit="1" customWidth="1"/>
    <col min="7" max="7" width="6.5546875" bestFit="1" customWidth="1"/>
    <col min="8" max="8" width="10.33203125" bestFit="1" customWidth="1"/>
    <col min="9" max="9" width="9.33203125" hidden="1" customWidth="1"/>
    <col min="10" max="10" width="12.109375" hidden="1" customWidth="1"/>
    <col min="11" max="11" width="15.6640625" hidden="1" customWidth="1"/>
    <col min="12" max="12" width="17" hidden="1" customWidth="1"/>
    <col min="13" max="13" width="12.88671875" hidden="1" customWidth="1"/>
    <col min="14" max="14" width="11.44140625" bestFit="1" customWidth="1"/>
    <col min="15" max="15" width="16.33203125" bestFit="1" customWidth="1"/>
    <col min="16" max="16" width="12" bestFit="1" customWidth="1"/>
    <col min="17" max="17" width="5.44140625" style="40" bestFit="1" customWidth="1"/>
    <col min="18" max="18" width="16.33203125" style="40" bestFit="1" customWidth="1"/>
    <col min="19" max="19" width="12" bestFit="1" customWidth="1"/>
    <col min="20" max="20" width="14.5546875" customWidth="1"/>
    <col min="23" max="23" width="0" hidden="1" customWidth="1"/>
    <col min="24" max="24" width="12.33203125" customWidth="1"/>
  </cols>
  <sheetData>
    <row r="1" spans="1:24" ht="16.8" x14ac:dyDescent="0.3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9"/>
    </row>
    <row r="2" spans="1:24" ht="15" thickBot="1" x14ac:dyDescent="0.35">
      <c r="A2" s="95" t="s">
        <v>1</v>
      </c>
      <c r="B2" s="96" t="s">
        <v>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227"/>
      <c r="P2" s="227"/>
      <c r="Q2" s="228"/>
      <c r="R2" s="102" t="s">
        <v>3</v>
      </c>
      <c r="S2" s="103">
        <v>46241</v>
      </c>
    </row>
    <row r="3" spans="1:24" x14ac:dyDescent="0.3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38" t="s">
        <v>7</v>
      </c>
      <c r="J3" s="239"/>
      <c r="K3" s="239"/>
      <c r="L3" s="239"/>
      <c r="M3" s="240"/>
      <c r="N3" s="238" t="s">
        <v>7</v>
      </c>
      <c r="O3" s="239"/>
      <c r="P3" s="240"/>
      <c r="Q3" s="45"/>
      <c r="R3" s="225" t="s">
        <v>8</v>
      </c>
      <c r="S3" s="226"/>
    </row>
    <row r="4" spans="1:24" ht="15" customHeight="1" thickBot="1" x14ac:dyDescent="0.35">
      <c r="A4" s="229"/>
      <c r="B4" s="233"/>
      <c r="C4" s="234"/>
      <c r="D4" s="234"/>
      <c r="E4" s="234"/>
      <c r="F4" s="234"/>
      <c r="G4" s="235"/>
      <c r="H4" s="236"/>
      <c r="I4" s="241" t="s">
        <v>9</v>
      </c>
      <c r="J4" s="242"/>
      <c r="K4" s="241" t="s">
        <v>10</v>
      </c>
      <c r="L4" s="243"/>
      <c r="M4" s="244"/>
      <c r="N4" s="38" t="s">
        <v>9</v>
      </c>
      <c r="O4" s="2" t="s">
        <v>11</v>
      </c>
      <c r="P4" s="223" t="s">
        <v>12</v>
      </c>
      <c r="Q4" s="45"/>
      <c r="R4" s="2" t="s">
        <v>11</v>
      </c>
      <c r="S4" s="223" t="s">
        <v>12</v>
      </c>
    </row>
    <row r="5" spans="1:24" ht="55.8" thickBot="1" x14ac:dyDescent="0.35">
      <c r="A5" s="229"/>
      <c r="B5" s="245" t="s">
        <v>13</v>
      </c>
      <c r="C5" s="245"/>
      <c r="D5" s="245"/>
      <c r="E5" s="245" t="s">
        <v>14</v>
      </c>
      <c r="F5" s="245"/>
      <c r="G5" s="245"/>
      <c r="H5" s="237"/>
      <c r="I5" s="18" t="s">
        <v>15</v>
      </c>
      <c r="J5" s="18" t="s">
        <v>16</v>
      </c>
      <c r="K5" s="18" t="s">
        <v>17</v>
      </c>
      <c r="L5" s="18" t="s">
        <v>18</v>
      </c>
      <c r="M5" s="19" t="s">
        <v>19</v>
      </c>
      <c r="N5" s="18" t="s">
        <v>15</v>
      </c>
      <c r="O5" s="18" t="s">
        <v>20</v>
      </c>
      <c r="P5" s="224"/>
      <c r="Q5" s="46" t="s">
        <v>21</v>
      </c>
      <c r="R5" s="18" t="s">
        <v>20</v>
      </c>
      <c r="S5" s="224"/>
    </row>
    <row r="6" spans="1:24" ht="15" thickBot="1" x14ac:dyDescent="0.35">
      <c r="A6" s="220" t="s">
        <v>22</v>
      </c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2"/>
    </row>
    <row r="7" spans="1:24" x14ac:dyDescent="0.3">
      <c r="A7" s="20" t="s">
        <v>23</v>
      </c>
      <c r="B7" s="21">
        <v>701</v>
      </c>
      <c r="C7" s="22" t="s">
        <v>24</v>
      </c>
      <c r="D7" s="23">
        <v>0</v>
      </c>
      <c r="E7" s="21">
        <v>702</v>
      </c>
      <c r="F7" s="22" t="s">
        <v>24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v>13941.6</v>
      </c>
      <c r="T7" s="215" t="s">
        <v>127</v>
      </c>
      <c r="U7" s="216"/>
      <c r="V7" s="216"/>
      <c r="W7">
        <v>10775.1</v>
      </c>
      <c r="X7" s="202">
        <f>S7-W7</f>
        <v>3166.5</v>
      </c>
    </row>
    <row r="8" spans="1:24" x14ac:dyDescent="0.3">
      <c r="A8" s="67" t="s">
        <v>25</v>
      </c>
      <c r="B8" s="63">
        <v>701</v>
      </c>
      <c r="C8" s="64" t="s">
        <v>24</v>
      </c>
      <c r="D8" s="65">
        <v>867</v>
      </c>
      <c r="E8" s="63">
        <v>702</v>
      </c>
      <c r="F8" s="64" t="s">
        <v>24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24" x14ac:dyDescent="0.3">
      <c r="A9" s="4" t="s">
        <v>23</v>
      </c>
      <c r="B9" s="5">
        <v>702</v>
      </c>
      <c r="C9" s="6" t="s">
        <v>24</v>
      </c>
      <c r="D9" s="7">
        <v>0</v>
      </c>
      <c r="E9" s="5">
        <v>703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7399.9</v>
      </c>
      <c r="T9" s="179" t="s">
        <v>26</v>
      </c>
      <c r="U9" s="16"/>
    </row>
    <row r="10" spans="1:24" x14ac:dyDescent="0.3">
      <c r="A10" s="67" t="s">
        <v>25</v>
      </c>
      <c r="B10" s="63">
        <v>702</v>
      </c>
      <c r="C10" s="64" t="s">
        <v>24</v>
      </c>
      <c r="D10" s="65">
        <v>0</v>
      </c>
      <c r="E10" s="63">
        <v>702</v>
      </c>
      <c r="F10" s="64" t="s">
        <v>24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24" x14ac:dyDescent="0.3">
      <c r="A11" s="4" t="s">
        <v>23</v>
      </c>
      <c r="B11" s="5">
        <v>703</v>
      </c>
      <c r="C11" s="6" t="s">
        <v>24</v>
      </c>
      <c r="D11" s="7">
        <v>0</v>
      </c>
      <c r="E11" s="5">
        <v>704</v>
      </c>
      <c r="F11" s="6" t="s">
        <v>24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24" x14ac:dyDescent="0.3">
      <c r="A12" s="4" t="s">
        <v>23</v>
      </c>
      <c r="B12" s="5">
        <v>704</v>
      </c>
      <c r="C12" s="6" t="s">
        <v>24</v>
      </c>
      <c r="D12" s="7">
        <v>0</v>
      </c>
      <c r="E12" s="5">
        <v>705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2743.6</v>
      </c>
      <c r="T12" s="179" t="s">
        <v>26</v>
      </c>
    </row>
    <row r="13" spans="1:24" ht="13.95" customHeight="1" x14ac:dyDescent="0.3">
      <c r="A13" s="67" t="s">
        <v>27</v>
      </c>
      <c r="B13" s="63">
        <v>704</v>
      </c>
      <c r="C13" s="64" t="s">
        <v>24</v>
      </c>
      <c r="D13" s="65">
        <v>435</v>
      </c>
      <c r="E13" s="63">
        <v>704</v>
      </c>
      <c r="F13" s="64" t="s">
        <v>24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24" x14ac:dyDescent="0.3">
      <c r="A14" s="4" t="s">
        <v>23</v>
      </c>
      <c r="B14" s="5">
        <v>705</v>
      </c>
      <c r="C14" s="6" t="s">
        <v>24</v>
      </c>
      <c r="D14" s="7">
        <v>0</v>
      </c>
      <c r="E14" s="5">
        <v>706</v>
      </c>
      <c r="F14" s="6" t="s">
        <v>24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24" x14ac:dyDescent="0.3">
      <c r="A15" s="4" t="s">
        <v>23</v>
      </c>
      <c r="B15" s="5">
        <v>706</v>
      </c>
      <c r="C15" s="6" t="s">
        <v>24</v>
      </c>
      <c r="D15" s="7">
        <v>0</v>
      </c>
      <c r="E15" s="5">
        <v>707</v>
      </c>
      <c r="F15" s="6" t="s">
        <v>24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24" x14ac:dyDescent="0.3">
      <c r="A16" s="67" t="s">
        <v>28</v>
      </c>
      <c r="B16" s="63">
        <v>706</v>
      </c>
      <c r="C16" s="64" t="s">
        <v>24</v>
      </c>
      <c r="D16" s="65">
        <v>400</v>
      </c>
      <c r="E16" s="63">
        <v>707</v>
      </c>
      <c r="F16" s="64" t="s">
        <v>24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3">
      <c r="A17" s="4" t="s">
        <v>23</v>
      </c>
      <c r="B17" s="5">
        <v>707</v>
      </c>
      <c r="C17" s="6" t="s">
        <v>24</v>
      </c>
      <c r="D17" s="7">
        <v>0</v>
      </c>
      <c r="E17" s="5">
        <v>708</v>
      </c>
      <c r="F17" s="6" t="s">
        <v>24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3">
      <c r="A18" s="4" t="s">
        <v>23</v>
      </c>
      <c r="B18" s="5">
        <v>708</v>
      </c>
      <c r="C18" s="6" t="s">
        <v>24</v>
      </c>
      <c r="D18" s="7">
        <v>0</v>
      </c>
      <c r="E18" s="5">
        <v>709</v>
      </c>
      <c r="F18" s="6" t="s">
        <v>24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3">
      <c r="A19" s="4" t="s">
        <v>23</v>
      </c>
      <c r="B19" s="5">
        <v>709</v>
      </c>
      <c r="C19" s="6" t="s">
        <v>24</v>
      </c>
      <c r="D19" s="7">
        <v>0</v>
      </c>
      <c r="E19" s="5">
        <v>710</v>
      </c>
      <c r="F19" s="6" t="s">
        <v>24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3">
      <c r="A20" s="4" t="s">
        <v>23</v>
      </c>
      <c r="B20" s="5">
        <v>710</v>
      </c>
      <c r="C20" s="6" t="s">
        <v>24</v>
      </c>
      <c r="D20" s="7">
        <v>0</v>
      </c>
      <c r="E20" s="5">
        <v>711</v>
      </c>
      <c r="F20" s="6" t="s">
        <v>24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3">
      <c r="A21" s="67" t="s">
        <v>28</v>
      </c>
      <c r="B21" s="63">
        <v>710</v>
      </c>
      <c r="C21" s="6" t="s">
        <v>24</v>
      </c>
      <c r="D21" s="65">
        <v>600</v>
      </c>
      <c r="E21" s="63">
        <v>711</v>
      </c>
      <c r="F21" s="6" t="s">
        <v>24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3">
      <c r="A22" s="4" t="s">
        <v>23</v>
      </c>
      <c r="B22" s="5">
        <v>711</v>
      </c>
      <c r="C22" s="6" t="s">
        <v>24</v>
      </c>
      <c r="D22" s="7">
        <v>0</v>
      </c>
      <c r="E22" s="5">
        <v>712</v>
      </c>
      <c r="F22" s="6" t="s">
        <v>24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3">
      <c r="A23" s="67" t="s">
        <v>28</v>
      </c>
      <c r="B23" s="63">
        <v>711</v>
      </c>
      <c r="C23" s="6"/>
      <c r="D23" s="65">
        <v>0</v>
      </c>
      <c r="E23" s="63">
        <v>711</v>
      </c>
      <c r="F23" s="6" t="s">
        <v>24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3">
      <c r="A24" s="4" t="s">
        <v>23</v>
      </c>
      <c r="B24" s="5">
        <v>712</v>
      </c>
      <c r="C24" s="6" t="s">
        <v>24</v>
      </c>
      <c r="D24" s="7">
        <v>0</v>
      </c>
      <c r="E24" s="5">
        <v>713</v>
      </c>
      <c r="F24" s="6" t="s">
        <v>24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" thickBot="1" x14ac:dyDescent="0.35">
      <c r="A25" s="52" t="s">
        <v>23</v>
      </c>
      <c r="B25" s="53">
        <v>713</v>
      </c>
      <c r="C25" s="54" t="s">
        <v>24</v>
      </c>
      <c r="D25" s="55">
        <v>0</v>
      </c>
      <c r="E25" s="53">
        <v>714</v>
      </c>
      <c r="F25" s="54" t="s">
        <v>24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3">
      <c r="A26" s="74" t="s">
        <v>23</v>
      </c>
      <c r="B26" s="75">
        <v>714</v>
      </c>
      <c r="C26" s="76" t="s">
        <v>24</v>
      </c>
      <c r="D26" s="77">
        <v>0</v>
      </c>
      <c r="E26" s="75">
        <v>715</v>
      </c>
      <c r="F26" s="76" t="s">
        <v>24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3">
      <c r="A27" s="74" t="s">
        <v>23</v>
      </c>
      <c r="B27" s="75">
        <v>715</v>
      </c>
      <c r="C27" s="76" t="s">
        <v>24</v>
      </c>
      <c r="D27" s="77">
        <v>0</v>
      </c>
      <c r="E27" s="75">
        <v>716</v>
      </c>
      <c r="F27" s="76" t="s">
        <v>24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3">
      <c r="A28" s="74" t="s">
        <v>23</v>
      </c>
      <c r="B28" s="75">
        <v>716</v>
      </c>
      <c r="C28" s="76" t="s">
        <v>24</v>
      </c>
      <c r="D28" s="77">
        <v>0</v>
      </c>
      <c r="E28" s="75">
        <v>717</v>
      </c>
      <c r="F28" s="76" t="s">
        <v>24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" thickBot="1" x14ac:dyDescent="0.35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24085.1</v>
      </c>
    </row>
    <row r="30" spans="1:19" x14ac:dyDescent="0.3">
      <c r="S30" s="39"/>
    </row>
    <row r="32" spans="1:19" x14ac:dyDescent="0.3">
      <c r="R32"/>
    </row>
    <row r="33" spans="10:18" x14ac:dyDescent="0.3">
      <c r="J33" s="39"/>
      <c r="K33" s="39"/>
      <c r="O33" s="39"/>
    </row>
    <row r="34" spans="10:18" x14ac:dyDescent="0.3">
      <c r="K34" s="39"/>
      <c r="L34" s="39"/>
      <c r="M34" s="39"/>
      <c r="O34" s="16"/>
      <c r="P34" s="94"/>
      <c r="R34" s="99"/>
    </row>
  </sheetData>
  <mergeCells count="16">
    <mergeCell ref="T7:V7"/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AA20"/>
  <sheetViews>
    <sheetView tabSelected="1" workbookViewId="0">
      <selection activeCell="P13" sqref="P13:P14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10937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0" width="17.6640625" hidden="1" customWidth="1"/>
    <col min="11" max="12" width="17.6640625" customWidth="1"/>
    <col min="13" max="13" width="18.6640625" bestFit="1" customWidth="1"/>
    <col min="14" max="14" width="17.6640625" hidden="1" customWidth="1"/>
    <col min="15" max="15" width="14.88671875" customWidth="1"/>
    <col min="16" max="16" width="15.33203125" customWidth="1"/>
    <col min="17" max="17" width="11.109375" bestFit="1" customWidth="1"/>
    <col min="18" max="18" width="14.5546875" customWidth="1"/>
    <col min="19" max="19" width="15.6640625" customWidth="1"/>
    <col min="20" max="20" width="17.6640625" customWidth="1"/>
    <col min="22" max="22" width="3.109375" customWidth="1"/>
    <col min="25" max="25" width="2.6640625" customWidth="1"/>
    <col min="27" max="27" width="13.6640625" customWidth="1"/>
  </cols>
  <sheetData>
    <row r="1" spans="1:27" ht="16.8" x14ac:dyDescent="0.3">
      <c r="A1" s="217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9"/>
    </row>
    <row r="2" spans="1:27" x14ac:dyDescent="0.3">
      <c r="A2" s="1" t="s">
        <v>29</v>
      </c>
      <c r="B2" s="42" t="s">
        <v>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249"/>
      <c r="P2" s="249"/>
      <c r="Q2" s="249"/>
      <c r="R2" s="102" t="s">
        <v>3</v>
      </c>
      <c r="S2" s="103">
        <f>'SEGMENTO-01'!S2</f>
        <v>46241</v>
      </c>
    </row>
    <row r="3" spans="1:27" x14ac:dyDescent="0.3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41" t="s">
        <v>7</v>
      </c>
      <c r="J3" s="243"/>
      <c r="K3" s="243"/>
      <c r="L3" s="243"/>
      <c r="M3" s="244"/>
      <c r="N3" s="241" t="s">
        <v>7</v>
      </c>
      <c r="O3" s="243"/>
      <c r="P3" s="244"/>
      <c r="Q3" s="45"/>
      <c r="R3" s="250" t="s">
        <v>8</v>
      </c>
      <c r="S3" s="251"/>
    </row>
    <row r="4" spans="1:27" ht="15" thickBot="1" x14ac:dyDescent="0.35">
      <c r="A4" s="229"/>
      <c r="B4" s="233"/>
      <c r="C4" s="234"/>
      <c r="D4" s="234"/>
      <c r="E4" s="234"/>
      <c r="F4" s="234"/>
      <c r="G4" s="235"/>
      <c r="H4" s="236"/>
      <c r="I4" s="241" t="s">
        <v>9</v>
      </c>
      <c r="J4" s="242"/>
      <c r="K4" s="241" t="s">
        <v>10</v>
      </c>
      <c r="L4" s="243"/>
      <c r="M4" s="244"/>
      <c r="N4" s="38" t="s">
        <v>9</v>
      </c>
      <c r="O4" s="2" t="s">
        <v>11</v>
      </c>
      <c r="P4" s="41"/>
      <c r="Q4" s="45"/>
      <c r="R4" s="2" t="s">
        <v>11</v>
      </c>
      <c r="S4" s="41"/>
    </row>
    <row r="5" spans="1:27" ht="42" customHeight="1" thickBot="1" x14ac:dyDescent="0.35">
      <c r="A5" s="254"/>
      <c r="B5" s="256" t="s">
        <v>13</v>
      </c>
      <c r="C5" s="256"/>
      <c r="D5" s="256"/>
      <c r="E5" s="256" t="s">
        <v>14</v>
      </c>
      <c r="F5" s="256"/>
      <c r="G5" s="256"/>
      <c r="H5" s="255"/>
      <c r="I5" s="2" t="s">
        <v>15</v>
      </c>
      <c r="J5" s="2" t="s">
        <v>16</v>
      </c>
      <c r="K5" s="2" t="s">
        <v>17</v>
      </c>
      <c r="L5" s="2" t="s">
        <v>18</v>
      </c>
      <c r="M5" s="3" t="s">
        <v>19</v>
      </c>
      <c r="N5" s="2" t="s">
        <v>15</v>
      </c>
      <c r="O5" s="2" t="s">
        <v>20</v>
      </c>
      <c r="P5" s="3" t="s">
        <v>12</v>
      </c>
      <c r="Q5" s="46" t="s">
        <v>21</v>
      </c>
      <c r="R5" s="2" t="s">
        <v>20</v>
      </c>
      <c r="S5" s="3" t="s">
        <v>12</v>
      </c>
      <c r="U5" s="246" t="s">
        <v>30</v>
      </c>
      <c r="V5" s="247"/>
      <c r="W5" s="247"/>
      <c r="X5" s="247"/>
      <c r="Y5" s="247"/>
      <c r="Z5" s="247"/>
      <c r="AA5" s="170"/>
    </row>
    <row r="6" spans="1:27" ht="15" thickBot="1" x14ac:dyDescent="0.35">
      <c r="A6" s="252" t="s">
        <v>22</v>
      </c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U6" s="171"/>
      <c r="V6" s="172"/>
      <c r="W6" s="172"/>
      <c r="X6" s="172"/>
      <c r="Y6" s="172"/>
      <c r="Z6" s="172"/>
      <c r="AA6" s="173"/>
    </row>
    <row r="7" spans="1:27" x14ac:dyDescent="0.3">
      <c r="A7" s="4" t="s">
        <v>23</v>
      </c>
      <c r="B7" s="5">
        <v>732</v>
      </c>
      <c r="C7" s="6" t="s">
        <v>24</v>
      </c>
      <c r="D7" s="7">
        <v>0</v>
      </c>
      <c r="E7" s="5">
        <v>733</v>
      </c>
      <c r="F7" s="6" t="s">
        <v>24</v>
      </c>
      <c r="G7" s="7">
        <v>0</v>
      </c>
      <c r="H7" s="8">
        <f t="shared" ref="H7:H13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f>K7</f>
        <v>3681.8</v>
      </c>
      <c r="Q7" s="47">
        <f t="shared" ref="Q7:Q13" si="1">(O7/M7)*1</f>
        <v>0</v>
      </c>
      <c r="R7" s="17"/>
      <c r="S7" s="16">
        <v>759.7</v>
      </c>
      <c r="U7" s="21">
        <v>732</v>
      </c>
      <c r="V7" s="22" t="s">
        <v>24</v>
      </c>
      <c r="W7" s="23">
        <v>0</v>
      </c>
      <c r="X7" s="21">
        <v>733</v>
      </c>
      <c r="Y7" s="22" t="s">
        <v>24</v>
      </c>
      <c r="Z7" s="23">
        <v>0</v>
      </c>
      <c r="AA7" s="26">
        <f>S7</f>
        <v>759.7</v>
      </c>
    </row>
    <row r="8" spans="1:27" x14ac:dyDescent="0.3">
      <c r="A8" s="4" t="s">
        <v>23</v>
      </c>
      <c r="B8" s="5">
        <v>733</v>
      </c>
      <c r="C8" s="6" t="s">
        <v>24</v>
      </c>
      <c r="D8" s="7">
        <v>0</v>
      </c>
      <c r="E8" s="5">
        <v>734</v>
      </c>
      <c r="F8" s="6" t="s">
        <v>24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f t="shared" ref="P8:P13" si="2">K8</f>
        <v>1041.5</v>
      </c>
      <c r="Q8" s="47">
        <f t="shared" si="1"/>
        <v>0</v>
      </c>
      <c r="R8" s="17"/>
      <c r="S8" s="16">
        <v>569.6</v>
      </c>
      <c r="U8" s="5">
        <v>733</v>
      </c>
      <c r="V8" s="6" t="s">
        <v>24</v>
      </c>
      <c r="W8" s="7">
        <v>0</v>
      </c>
      <c r="X8" s="5">
        <v>734</v>
      </c>
      <c r="Y8" s="6" t="s">
        <v>24</v>
      </c>
      <c r="Z8" s="7">
        <v>0</v>
      </c>
      <c r="AA8" s="16">
        <f t="shared" ref="AA8:AA10" si="3">S8</f>
        <v>569.6</v>
      </c>
    </row>
    <row r="9" spans="1:27" x14ac:dyDescent="0.3">
      <c r="A9" s="4" t="s">
        <v>23</v>
      </c>
      <c r="B9" s="5">
        <v>734</v>
      </c>
      <c r="C9" s="6" t="s">
        <v>24</v>
      </c>
      <c r="D9" s="7">
        <v>0</v>
      </c>
      <c r="E9" s="5">
        <v>735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v>10181.799999999999</v>
      </c>
      <c r="O9" s="16">
        <v>0</v>
      </c>
      <c r="P9" s="16">
        <f t="shared" si="2"/>
        <v>10181.799999999999</v>
      </c>
      <c r="Q9" s="47">
        <f>(O9/M9)*1</f>
        <v>0</v>
      </c>
      <c r="R9" s="17"/>
      <c r="S9" s="16">
        <v>869.8</v>
      </c>
      <c r="U9" s="5">
        <v>734</v>
      </c>
      <c r="V9" s="6" t="s">
        <v>24</v>
      </c>
      <c r="W9" s="7">
        <v>0</v>
      </c>
      <c r="X9" s="5">
        <v>735</v>
      </c>
      <c r="Y9" s="6" t="s">
        <v>24</v>
      </c>
      <c r="Z9" s="7">
        <v>0</v>
      </c>
      <c r="AA9" s="16">
        <f t="shared" si="3"/>
        <v>869.8</v>
      </c>
    </row>
    <row r="10" spans="1:27" x14ac:dyDescent="0.3">
      <c r="A10" s="4" t="s">
        <v>23</v>
      </c>
      <c r="B10" s="5">
        <v>735</v>
      </c>
      <c r="C10" s="6" t="s">
        <v>24</v>
      </c>
      <c r="D10" s="7">
        <v>0</v>
      </c>
      <c r="E10" s="5">
        <v>736</v>
      </c>
      <c r="F10" s="6" t="s">
        <v>24</v>
      </c>
      <c r="G10" s="7">
        <v>0</v>
      </c>
      <c r="H10" s="8">
        <f>(E10*1000+G10)-(B10*1000+D10)</f>
        <v>1000</v>
      </c>
      <c r="I10" s="9"/>
      <c r="J10" s="9"/>
      <c r="K10" s="16">
        <v>4226.6000000000004</v>
      </c>
      <c r="L10" s="16">
        <v>0</v>
      </c>
      <c r="M10" s="9">
        <v>4226.6000000000004</v>
      </c>
      <c r="O10" s="16">
        <v>0</v>
      </c>
      <c r="P10" s="16">
        <f>K10</f>
        <v>4226.6000000000004</v>
      </c>
      <c r="Q10" s="47">
        <f>(O10/M10)*1</f>
        <v>0</v>
      </c>
      <c r="R10" s="17"/>
      <c r="S10" s="16">
        <v>0</v>
      </c>
      <c r="U10" s="5">
        <v>735</v>
      </c>
      <c r="V10" s="6" t="s">
        <v>24</v>
      </c>
      <c r="W10" s="7">
        <v>0</v>
      </c>
      <c r="X10" s="5">
        <v>736</v>
      </c>
      <c r="Y10" s="6" t="s">
        <v>24</v>
      </c>
      <c r="Z10" s="7">
        <v>0</v>
      </c>
      <c r="AA10" s="16">
        <f t="shared" si="3"/>
        <v>0</v>
      </c>
    </row>
    <row r="11" spans="1:27" ht="15" thickBot="1" x14ac:dyDescent="0.35">
      <c r="A11" s="130" t="s">
        <v>23</v>
      </c>
      <c r="B11" s="131">
        <v>736</v>
      </c>
      <c r="C11" s="132" t="s">
        <v>24</v>
      </c>
      <c r="D11" s="133">
        <v>0</v>
      </c>
      <c r="E11" s="131">
        <v>736</v>
      </c>
      <c r="F11" s="132" t="s">
        <v>24</v>
      </c>
      <c r="G11" s="133">
        <v>380</v>
      </c>
      <c r="H11" s="134">
        <f t="shared" ref="H11" si="4">(E11*1000+G11)-(B11*1000+D11)</f>
        <v>380</v>
      </c>
      <c r="I11" s="135"/>
      <c r="J11" s="135"/>
      <c r="K11" s="136"/>
      <c r="L11" s="136">
        <v>0</v>
      </c>
      <c r="M11" s="135">
        <v>8396.7999999999993</v>
      </c>
      <c r="N11" s="137"/>
      <c r="O11" s="136">
        <v>0</v>
      </c>
      <c r="P11" s="136">
        <v>8396.7999999999993</v>
      </c>
      <c r="Q11" s="138"/>
      <c r="R11" s="139"/>
      <c r="S11" s="136">
        <v>8396.7999999999993</v>
      </c>
      <c r="U11" s="131">
        <v>736</v>
      </c>
      <c r="V11" s="132" t="s">
        <v>24</v>
      </c>
      <c r="W11" s="133">
        <v>0</v>
      </c>
      <c r="X11" s="131">
        <v>736</v>
      </c>
      <c r="Y11" s="132" t="s">
        <v>24</v>
      </c>
      <c r="Z11" s="133">
        <v>380</v>
      </c>
      <c r="AA11" s="174">
        <v>8396.7999999999993</v>
      </c>
    </row>
    <row r="12" spans="1:27" ht="15" thickBot="1" x14ac:dyDescent="0.35">
      <c r="A12" s="4" t="s">
        <v>31</v>
      </c>
      <c r="B12" s="5">
        <v>732</v>
      </c>
      <c r="C12" s="6" t="s">
        <v>24</v>
      </c>
      <c r="D12" s="7">
        <v>0</v>
      </c>
      <c r="E12" s="5">
        <v>733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11152.5</v>
      </c>
      <c r="L12" s="16">
        <v>0</v>
      </c>
      <c r="M12" s="9">
        <v>11152.5</v>
      </c>
      <c r="O12" s="16">
        <v>0</v>
      </c>
      <c r="P12" s="16">
        <f t="shared" si="2"/>
        <v>11152.5</v>
      </c>
      <c r="Q12" s="47">
        <f t="shared" si="1"/>
        <v>0</v>
      </c>
      <c r="R12" s="17"/>
      <c r="S12" s="16">
        <v>9078.7999999999993</v>
      </c>
      <c r="AA12" s="13">
        <f>SUM(AA7:AA11)</f>
        <v>10595.9</v>
      </c>
    </row>
    <row r="13" spans="1:27" ht="15" thickBot="1" x14ac:dyDescent="0.35">
      <c r="A13" s="4" t="s">
        <v>31</v>
      </c>
      <c r="B13" s="5">
        <v>733</v>
      </c>
      <c r="C13" s="6" t="s">
        <v>24</v>
      </c>
      <c r="D13" s="7">
        <v>0</v>
      </c>
      <c r="E13" s="5">
        <v>734</v>
      </c>
      <c r="F13" s="6" t="s">
        <v>24</v>
      </c>
      <c r="G13" s="7">
        <v>0</v>
      </c>
      <c r="H13" s="8">
        <f t="shared" si="0"/>
        <v>1000</v>
      </c>
      <c r="I13" s="9"/>
      <c r="J13" s="9"/>
      <c r="K13" s="16">
        <v>11949.9</v>
      </c>
      <c r="L13" s="16">
        <v>0</v>
      </c>
      <c r="M13" s="17">
        <v>11949.9</v>
      </c>
      <c r="O13" s="16">
        <v>0</v>
      </c>
      <c r="P13" s="16">
        <f t="shared" si="2"/>
        <v>11949.9</v>
      </c>
      <c r="Q13" s="47">
        <f t="shared" si="1"/>
        <v>0</v>
      </c>
      <c r="R13" s="17"/>
      <c r="S13" s="16">
        <v>5029.3999999999996</v>
      </c>
    </row>
    <row r="14" spans="1:27" ht="15" customHeight="1" thickBot="1" x14ac:dyDescent="0.35">
      <c r="A14" s="4" t="s">
        <v>31</v>
      </c>
      <c r="B14" s="5">
        <v>734</v>
      </c>
      <c r="C14" s="6" t="s">
        <v>24</v>
      </c>
      <c r="D14" s="7">
        <v>0</v>
      </c>
      <c r="E14" s="5">
        <v>734</v>
      </c>
      <c r="F14" s="6" t="s">
        <v>24</v>
      </c>
      <c r="G14" s="7">
        <v>220</v>
      </c>
      <c r="H14" s="8">
        <f t="shared" ref="H14" si="5">(E14*1000+G14)-(B14*1000+D14)</f>
        <v>220</v>
      </c>
      <c r="I14" s="9"/>
      <c r="J14" s="9"/>
      <c r="K14" s="16">
        <v>3186.1</v>
      </c>
      <c r="L14" s="16">
        <v>0</v>
      </c>
      <c r="M14" s="17">
        <v>3186.1</v>
      </c>
      <c r="O14" s="16">
        <v>0</v>
      </c>
      <c r="P14" s="16">
        <f t="shared" ref="P14" si="6">K14</f>
        <v>3186.1</v>
      </c>
      <c r="Q14" s="47">
        <f t="shared" ref="Q14" si="7">(O14/M14)*1</f>
        <v>0</v>
      </c>
      <c r="R14" s="17"/>
      <c r="S14" s="16">
        <v>1863.9</v>
      </c>
      <c r="U14" s="246" t="s">
        <v>32</v>
      </c>
      <c r="V14" s="247"/>
      <c r="W14" s="247"/>
      <c r="X14" s="247"/>
      <c r="Y14" s="247"/>
      <c r="Z14" s="247"/>
      <c r="AA14" s="248"/>
    </row>
    <row r="15" spans="1:27" ht="15" thickBot="1" x14ac:dyDescent="0.35">
      <c r="A15" s="11" t="str">
        <f>"TOTAL - "&amp;A6</f>
        <v>TOTAL - RODOVIA</v>
      </c>
      <c r="B15" s="12"/>
      <c r="C15" s="12"/>
      <c r="D15" s="12"/>
      <c r="E15" s="12"/>
      <c r="F15" s="12"/>
      <c r="G15" s="12"/>
      <c r="H15" s="12"/>
      <c r="I15" s="13">
        <f>SUM(I7:I14)</f>
        <v>0</v>
      </c>
      <c r="J15" s="13">
        <f>SUM(J7:J14)</f>
        <v>0</v>
      </c>
      <c r="K15" s="13">
        <f>SUM(K7:K14)</f>
        <v>45420.2</v>
      </c>
      <c r="L15" s="13">
        <f>SUM(L7:L14)</f>
        <v>0</v>
      </c>
      <c r="M15" s="13">
        <f>SUM(M7:M14)</f>
        <v>55817</v>
      </c>
      <c r="N15" s="48"/>
      <c r="O15" s="13">
        <f>SUM(O7:O14)</f>
        <v>0</v>
      </c>
      <c r="P15" s="13">
        <f>SUM(P7:P14)</f>
        <v>53817</v>
      </c>
      <c r="Q15" s="13"/>
      <c r="R15" s="13"/>
      <c r="S15" s="13">
        <f>SUM(S7:S14)</f>
        <v>26568</v>
      </c>
      <c r="U15" s="171"/>
      <c r="V15" s="172"/>
      <c r="W15" s="172"/>
      <c r="X15" s="172"/>
      <c r="Y15" s="172"/>
      <c r="Z15" s="172"/>
      <c r="AA15" s="173"/>
    </row>
    <row r="16" spans="1:27" ht="15" thickBot="1" x14ac:dyDescent="0.35">
      <c r="A16" s="11"/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U16" s="5">
        <v>732</v>
      </c>
      <c r="V16" s="6" t="s">
        <v>24</v>
      </c>
      <c r="W16" s="7">
        <v>0</v>
      </c>
      <c r="X16" s="5">
        <v>733</v>
      </c>
      <c r="Y16" s="6" t="s">
        <v>24</v>
      </c>
      <c r="Z16" s="7">
        <v>0</v>
      </c>
      <c r="AA16" s="26">
        <f>S12</f>
        <v>9078.7999999999993</v>
      </c>
    </row>
    <row r="17" spans="1:27" ht="15" thickBot="1" x14ac:dyDescent="0.35">
      <c r="A17" s="11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  <c r="U17" s="5">
        <v>733</v>
      </c>
      <c r="V17" s="6" t="s">
        <v>24</v>
      </c>
      <c r="W17" s="7">
        <v>0</v>
      </c>
      <c r="X17" s="5">
        <v>734</v>
      </c>
      <c r="Y17" s="6" t="s">
        <v>24</v>
      </c>
      <c r="Z17" s="7">
        <v>0</v>
      </c>
      <c r="AA17" s="26">
        <f t="shared" ref="AA17:AA18" si="8">S13</f>
        <v>5029.3999999999996</v>
      </c>
    </row>
    <row r="18" spans="1:27" ht="15" thickBot="1" x14ac:dyDescent="0.35">
      <c r="U18" s="5">
        <v>734</v>
      </c>
      <c r="V18" s="6" t="s">
        <v>24</v>
      </c>
      <c r="W18" s="7">
        <v>0</v>
      </c>
      <c r="X18" s="5">
        <v>734</v>
      </c>
      <c r="Y18" s="6" t="s">
        <v>24</v>
      </c>
      <c r="Z18" s="7">
        <v>220</v>
      </c>
      <c r="AA18" s="26">
        <f t="shared" si="8"/>
        <v>1863.9</v>
      </c>
    </row>
    <row r="19" spans="1:27" ht="15" thickBot="1" x14ac:dyDescent="0.35">
      <c r="AA19" s="13">
        <f>SUM(AA16:AA18)</f>
        <v>15972.099999999999</v>
      </c>
    </row>
    <row r="20" spans="1:27" x14ac:dyDescent="0.3">
      <c r="K20" s="94"/>
    </row>
  </sheetData>
  <mergeCells count="15">
    <mergeCell ref="U5:Z5"/>
    <mergeCell ref="U14:AA14"/>
    <mergeCell ref="A1:Q1"/>
    <mergeCell ref="O2:Q2"/>
    <mergeCell ref="I3:M3"/>
    <mergeCell ref="N3:P3"/>
    <mergeCell ref="K4:M4"/>
    <mergeCell ref="R3:S3"/>
    <mergeCell ref="A6:S6"/>
    <mergeCell ref="A3:A5"/>
    <mergeCell ref="B3:G4"/>
    <mergeCell ref="H3:H5"/>
    <mergeCell ref="I4:J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Y45"/>
  <sheetViews>
    <sheetView topLeftCell="B1" workbookViewId="0">
      <selection activeCell="N9" sqref="N9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10937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1" width="17.6640625" customWidth="1"/>
    <col min="12" max="12" width="18.6640625" style="40" bestFit="1" customWidth="1"/>
    <col min="13" max="13" width="17.6640625" customWidth="1"/>
    <col min="14" max="14" width="14.6640625" customWidth="1"/>
    <col min="15" max="15" width="13.33203125" customWidth="1"/>
    <col min="16" max="16" width="11.33203125" customWidth="1"/>
    <col min="17" max="17" width="11.6640625" customWidth="1"/>
    <col min="18" max="18" width="2" customWidth="1"/>
    <col min="19" max="19" width="7.33203125" customWidth="1"/>
    <col min="20" max="20" width="7.6640625" customWidth="1"/>
    <col min="21" max="21" width="3" customWidth="1"/>
    <col min="22" max="22" width="6.5546875" style="40" customWidth="1"/>
    <col min="23" max="23" width="11.5546875" style="40" customWidth="1"/>
    <col min="25" max="25" width="10" bestFit="1" customWidth="1"/>
  </cols>
  <sheetData>
    <row r="1" spans="1:23" ht="16.8" x14ac:dyDescent="0.3">
      <c r="A1" s="263" t="s">
        <v>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5"/>
    </row>
    <row r="2" spans="1:23" x14ac:dyDescent="0.3">
      <c r="A2" s="1" t="s">
        <v>33</v>
      </c>
      <c r="B2" s="266" t="s">
        <v>2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  <c r="N2" s="102" t="s">
        <v>3</v>
      </c>
      <c r="O2" s="103">
        <f>'SEGMENTO-01'!S2</f>
        <v>46241</v>
      </c>
      <c r="P2" s="149"/>
      <c r="Q2" s="149"/>
      <c r="R2" s="149"/>
      <c r="S2" s="149"/>
      <c r="T2" s="149"/>
      <c r="U2" s="149"/>
    </row>
    <row r="3" spans="1:23" x14ac:dyDescent="0.3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43"/>
      <c r="J3" s="243"/>
      <c r="K3" s="243"/>
      <c r="L3" s="243"/>
      <c r="M3" s="244"/>
      <c r="N3" s="250" t="s">
        <v>8</v>
      </c>
      <c r="O3" s="251"/>
      <c r="P3" s="40"/>
      <c r="Q3" s="40"/>
      <c r="R3" s="40"/>
      <c r="S3" s="40"/>
      <c r="T3" s="40"/>
      <c r="U3" s="40"/>
    </row>
    <row r="4" spans="1:23" ht="15" thickBot="1" x14ac:dyDescent="0.35">
      <c r="A4" s="229"/>
      <c r="B4" s="233"/>
      <c r="C4" s="234"/>
      <c r="D4" s="234"/>
      <c r="E4" s="234"/>
      <c r="F4" s="234"/>
      <c r="G4" s="235"/>
      <c r="H4" s="236"/>
      <c r="I4" s="72"/>
      <c r="J4" s="241" t="s">
        <v>34</v>
      </c>
      <c r="K4" s="243"/>
      <c r="L4" s="243"/>
      <c r="M4" s="244"/>
      <c r="N4" s="2" t="s">
        <v>11</v>
      </c>
      <c r="O4" s="41"/>
      <c r="P4" s="150"/>
      <c r="Q4" s="150"/>
      <c r="R4" s="150"/>
      <c r="S4" s="150"/>
      <c r="T4" s="150"/>
      <c r="U4" s="150"/>
    </row>
    <row r="5" spans="1:23" ht="42" customHeight="1" thickBot="1" x14ac:dyDescent="0.35">
      <c r="A5" s="229"/>
      <c r="B5" s="245" t="s">
        <v>13</v>
      </c>
      <c r="C5" s="245"/>
      <c r="D5" s="245"/>
      <c r="E5" s="245" t="s">
        <v>14</v>
      </c>
      <c r="F5" s="245"/>
      <c r="G5" s="245"/>
      <c r="H5" s="237"/>
      <c r="I5" s="18" t="s">
        <v>16</v>
      </c>
      <c r="J5" s="18" t="s">
        <v>17</v>
      </c>
      <c r="K5" s="18" t="s">
        <v>35</v>
      </c>
      <c r="L5" s="18" t="s">
        <v>18</v>
      </c>
      <c r="M5" s="19" t="s">
        <v>19</v>
      </c>
      <c r="N5" s="2" t="s">
        <v>20</v>
      </c>
      <c r="O5" s="3" t="s">
        <v>12</v>
      </c>
      <c r="P5" s="151"/>
      <c r="Q5" s="257" t="s">
        <v>36</v>
      </c>
      <c r="R5" s="258"/>
      <c r="S5" s="258"/>
      <c r="T5" s="258"/>
      <c r="U5" s="258"/>
      <c r="V5" s="258"/>
      <c r="W5" s="259"/>
    </row>
    <row r="6" spans="1:23" ht="15" thickBot="1" x14ac:dyDescent="0.35">
      <c r="A6" s="260" t="s">
        <v>22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2"/>
      <c r="N6" s="260"/>
      <c r="O6" s="261"/>
      <c r="P6" s="161"/>
      <c r="Q6" s="162"/>
      <c r="R6" s="163"/>
      <c r="S6" s="163"/>
      <c r="T6" s="163"/>
      <c r="U6" s="163"/>
      <c r="V6" s="154"/>
      <c r="W6" s="160"/>
    </row>
    <row r="7" spans="1:23" x14ac:dyDescent="0.3">
      <c r="A7" s="140" t="s">
        <v>23</v>
      </c>
      <c r="B7" s="141">
        <v>736</v>
      </c>
      <c r="C7" s="142" t="s">
        <v>24</v>
      </c>
      <c r="D7" s="143">
        <v>0</v>
      </c>
      <c r="E7" s="141">
        <v>736</v>
      </c>
      <c r="F7" s="142" t="s">
        <v>24</v>
      </c>
      <c r="G7" s="143">
        <v>380</v>
      </c>
      <c r="H7" s="144">
        <f t="shared" ref="H7:H10" si="0">(E7*1000+G7)-(B7*1000+D7)</f>
        <v>380</v>
      </c>
      <c r="I7" s="145"/>
      <c r="J7" s="146">
        <v>32188.199999999997</v>
      </c>
      <c r="K7" s="145">
        <v>0</v>
      </c>
      <c r="L7" s="147">
        <v>442.8</v>
      </c>
      <c r="M7" s="148">
        <f>J7+K7+L7</f>
        <v>32630.999999999996</v>
      </c>
      <c r="N7" s="147"/>
      <c r="O7" s="136">
        <v>8396.7999999999993</v>
      </c>
      <c r="P7" s="165"/>
      <c r="Q7" s="166">
        <v>736</v>
      </c>
      <c r="R7" s="164" t="s">
        <v>24</v>
      </c>
      <c r="S7" s="164">
        <v>0</v>
      </c>
      <c r="T7" s="168">
        <v>736</v>
      </c>
      <c r="U7" s="164" t="s">
        <v>24</v>
      </c>
      <c r="V7" s="153">
        <v>380</v>
      </c>
      <c r="W7" s="160"/>
    </row>
    <row r="8" spans="1:23" x14ac:dyDescent="0.3">
      <c r="A8" s="20" t="s">
        <v>23</v>
      </c>
      <c r="B8" s="21">
        <v>736</v>
      </c>
      <c r="C8" s="22" t="s">
        <v>24</v>
      </c>
      <c r="D8" s="23">
        <v>640</v>
      </c>
      <c r="E8" s="21">
        <v>737</v>
      </c>
      <c r="F8" s="22" t="s">
        <v>24</v>
      </c>
      <c r="G8" s="23">
        <v>0</v>
      </c>
      <c r="H8" s="24">
        <f t="shared" ref="H8" si="1">(E8*1000+G8)-(B8*1000+D8)</f>
        <v>360</v>
      </c>
      <c r="I8" s="25"/>
      <c r="J8" s="26">
        <v>32188.199999999997</v>
      </c>
      <c r="K8" s="25">
        <v>0</v>
      </c>
      <c r="L8" s="99">
        <v>442.8</v>
      </c>
      <c r="M8" s="27">
        <f>J8+K8+L8-O7</f>
        <v>24234.199999999997</v>
      </c>
      <c r="N8" s="99"/>
      <c r="O8" s="27">
        <v>3498.7</v>
      </c>
      <c r="P8" s="100"/>
      <c r="Q8" s="167">
        <v>736</v>
      </c>
      <c r="R8" s="153" t="s">
        <v>24</v>
      </c>
      <c r="S8" s="153">
        <v>640</v>
      </c>
      <c r="T8" s="169">
        <v>737</v>
      </c>
      <c r="U8" s="153" t="s">
        <v>24</v>
      </c>
      <c r="V8" s="153">
        <v>0</v>
      </c>
      <c r="W8" s="155">
        <f>O8</f>
        <v>3498.7</v>
      </c>
    </row>
    <row r="9" spans="1:23" x14ac:dyDescent="0.3">
      <c r="A9" s="4" t="s">
        <v>23</v>
      </c>
      <c r="B9" s="21">
        <v>737</v>
      </c>
      <c r="C9" s="6" t="s">
        <v>24</v>
      </c>
      <c r="D9" s="7">
        <v>0</v>
      </c>
      <c r="E9" s="21">
        <v>738</v>
      </c>
      <c r="F9" s="6" t="s">
        <v>24</v>
      </c>
      <c r="G9" s="23">
        <v>0</v>
      </c>
      <c r="H9" s="8">
        <f t="shared" si="0"/>
        <v>1000</v>
      </c>
      <c r="I9" s="9"/>
      <c r="J9" s="16">
        <v>3103.1</v>
      </c>
      <c r="K9" s="9">
        <v>0</v>
      </c>
      <c r="L9" s="26">
        <v>5977.7</v>
      </c>
      <c r="M9" s="27">
        <f>J9+K9+L9</f>
        <v>9080.7999999999993</v>
      </c>
      <c r="N9" s="26">
        <f>M9</f>
        <v>9080.7999999999993</v>
      </c>
      <c r="O9" s="27">
        <v>0</v>
      </c>
      <c r="P9" s="100"/>
      <c r="Q9" s="167">
        <v>737</v>
      </c>
      <c r="R9" s="153" t="s">
        <v>24</v>
      </c>
      <c r="S9" s="153">
        <v>0</v>
      </c>
      <c r="T9" s="169">
        <v>738</v>
      </c>
      <c r="U9" s="153" t="s">
        <v>24</v>
      </c>
      <c r="V9" s="153">
        <v>0</v>
      </c>
      <c r="W9" s="155">
        <f t="shared" ref="W9:W17" si="2">O9</f>
        <v>0</v>
      </c>
    </row>
    <row r="10" spans="1:23" x14ac:dyDescent="0.3">
      <c r="A10" s="4" t="s">
        <v>23</v>
      </c>
      <c r="B10" s="21">
        <v>738</v>
      </c>
      <c r="C10" s="6" t="s">
        <v>24</v>
      </c>
      <c r="D10" s="7">
        <v>0</v>
      </c>
      <c r="E10" s="21">
        <v>739</v>
      </c>
      <c r="F10" s="6" t="s">
        <v>24</v>
      </c>
      <c r="G10" s="23">
        <v>0</v>
      </c>
      <c r="H10" s="8">
        <f t="shared" si="0"/>
        <v>1000</v>
      </c>
      <c r="I10" s="9"/>
      <c r="J10" s="16">
        <v>16351.8</v>
      </c>
      <c r="K10" s="9">
        <v>0</v>
      </c>
      <c r="L10" s="26">
        <v>3653.4</v>
      </c>
      <c r="M10" s="27">
        <f t="shared" ref="M10:M17" si="3">J10+K10+L10</f>
        <v>20005.2</v>
      </c>
      <c r="N10" s="26">
        <f>M10-O10</f>
        <v>20005.2</v>
      </c>
      <c r="O10" s="27">
        <v>0</v>
      </c>
      <c r="P10" s="100"/>
      <c r="Q10" s="167">
        <v>738</v>
      </c>
      <c r="R10" s="153" t="s">
        <v>24</v>
      </c>
      <c r="S10" s="153">
        <v>0</v>
      </c>
      <c r="T10" s="169">
        <v>739</v>
      </c>
      <c r="U10" s="153" t="s">
        <v>24</v>
      </c>
      <c r="V10" s="153">
        <v>0</v>
      </c>
      <c r="W10" s="155">
        <f t="shared" si="2"/>
        <v>0</v>
      </c>
    </row>
    <row r="11" spans="1:23" x14ac:dyDescent="0.3">
      <c r="A11" s="4" t="s">
        <v>23</v>
      </c>
      <c r="B11" s="21">
        <v>739</v>
      </c>
      <c r="C11" s="6" t="s">
        <v>24</v>
      </c>
      <c r="D11" s="7">
        <v>0</v>
      </c>
      <c r="E11" s="21">
        <v>740</v>
      </c>
      <c r="F11" s="6" t="s">
        <v>24</v>
      </c>
      <c r="G11" s="23">
        <v>0</v>
      </c>
      <c r="H11" s="8">
        <f>(E11*1000+G11)-(B11*1000+D11)</f>
        <v>1000</v>
      </c>
      <c r="I11" s="9"/>
      <c r="J11" s="16">
        <v>13604.5</v>
      </c>
      <c r="K11" s="9">
        <v>0</v>
      </c>
      <c r="L11" s="26">
        <v>3822.8</v>
      </c>
      <c r="M11" s="27">
        <f t="shared" si="3"/>
        <v>17427.3</v>
      </c>
      <c r="N11" s="26">
        <f>M11-O11</f>
        <v>17427.3</v>
      </c>
      <c r="O11" s="27">
        <v>0</v>
      </c>
      <c r="P11" s="100"/>
      <c r="Q11" s="167">
        <v>739</v>
      </c>
      <c r="R11" s="153" t="s">
        <v>24</v>
      </c>
      <c r="S11" s="153">
        <v>0</v>
      </c>
      <c r="T11" s="169">
        <v>740</v>
      </c>
      <c r="U11" s="153" t="s">
        <v>24</v>
      </c>
      <c r="V11" s="153">
        <v>0</v>
      </c>
      <c r="W11" s="155">
        <f t="shared" si="2"/>
        <v>0</v>
      </c>
    </row>
    <row r="12" spans="1:23" x14ac:dyDescent="0.3">
      <c r="A12" s="4" t="s">
        <v>23</v>
      </c>
      <c r="B12" s="21">
        <v>740</v>
      </c>
      <c r="C12" s="6" t="s">
        <v>24</v>
      </c>
      <c r="D12" s="7">
        <v>0</v>
      </c>
      <c r="E12" s="21">
        <v>741</v>
      </c>
      <c r="F12" s="6" t="s">
        <v>24</v>
      </c>
      <c r="G12" s="23">
        <v>0</v>
      </c>
      <c r="H12" s="8">
        <f>(E12*1000+G12)-(B12*1000+D12)</f>
        <v>1000</v>
      </c>
      <c r="I12" s="9"/>
      <c r="J12" s="16">
        <v>4863.3999999999996</v>
      </c>
      <c r="K12" s="9">
        <v>0</v>
      </c>
      <c r="L12" s="26">
        <v>4904</v>
      </c>
      <c r="M12" s="27">
        <f t="shared" si="3"/>
        <v>9767.4</v>
      </c>
      <c r="N12" s="26"/>
      <c r="O12" s="27">
        <v>0</v>
      </c>
      <c r="P12" s="100"/>
      <c r="Q12" s="167">
        <v>740</v>
      </c>
      <c r="R12" s="153" t="s">
        <v>24</v>
      </c>
      <c r="S12" s="153">
        <v>0</v>
      </c>
      <c r="T12" s="169">
        <v>741</v>
      </c>
      <c r="U12" s="153" t="s">
        <v>24</v>
      </c>
      <c r="V12" s="153">
        <v>0</v>
      </c>
      <c r="W12" s="155">
        <f t="shared" si="2"/>
        <v>0</v>
      </c>
    </row>
    <row r="13" spans="1:23" x14ac:dyDescent="0.3">
      <c r="A13" s="4" t="s">
        <v>23</v>
      </c>
      <c r="B13" s="21">
        <v>741</v>
      </c>
      <c r="C13" s="6" t="s">
        <v>24</v>
      </c>
      <c r="D13" s="7">
        <v>0</v>
      </c>
      <c r="E13" s="21">
        <v>742</v>
      </c>
      <c r="F13" s="6" t="s">
        <v>24</v>
      </c>
      <c r="G13" s="23">
        <v>0</v>
      </c>
      <c r="H13" s="8">
        <f>(E13*1000+G13)-(B13*1000+D13)</f>
        <v>1000</v>
      </c>
      <c r="I13" s="9"/>
      <c r="J13" s="16">
        <v>3883.7</v>
      </c>
      <c r="K13" s="9">
        <v>0</v>
      </c>
      <c r="L13" s="26">
        <v>4804</v>
      </c>
      <c r="M13" s="27">
        <f t="shared" si="3"/>
        <v>8687.7000000000007</v>
      </c>
      <c r="N13" s="26"/>
      <c r="O13" s="27">
        <v>0</v>
      </c>
      <c r="P13" s="100"/>
      <c r="Q13" s="167">
        <v>741</v>
      </c>
      <c r="R13" s="153" t="s">
        <v>24</v>
      </c>
      <c r="S13" s="153">
        <v>0</v>
      </c>
      <c r="T13" s="169">
        <v>742</v>
      </c>
      <c r="U13" s="153" t="s">
        <v>24</v>
      </c>
      <c r="V13" s="153">
        <v>0</v>
      </c>
      <c r="W13" s="155">
        <f t="shared" si="2"/>
        <v>0</v>
      </c>
    </row>
    <row r="14" spans="1:23" x14ac:dyDescent="0.3">
      <c r="A14" s="4" t="s">
        <v>23</v>
      </c>
      <c r="B14" s="21">
        <v>742</v>
      </c>
      <c r="C14" s="6" t="s">
        <v>24</v>
      </c>
      <c r="D14" s="7">
        <v>0</v>
      </c>
      <c r="E14" s="21">
        <v>743</v>
      </c>
      <c r="F14" s="6" t="s">
        <v>24</v>
      </c>
      <c r="G14" s="23">
        <v>0</v>
      </c>
      <c r="H14" s="8">
        <f t="shared" ref="H14:H17" si="4">(E14*1000+G14)-(B14*1000+D14)</f>
        <v>1000</v>
      </c>
      <c r="I14" s="9"/>
      <c r="J14" s="16">
        <v>2483</v>
      </c>
      <c r="K14" s="9">
        <v>0</v>
      </c>
      <c r="L14" s="26">
        <v>6588.4</v>
      </c>
      <c r="M14" s="27">
        <f t="shared" si="3"/>
        <v>9071.4</v>
      </c>
      <c r="N14" s="26"/>
      <c r="O14" s="27">
        <v>0</v>
      </c>
      <c r="P14" s="100"/>
      <c r="Q14" s="167">
        <v>742</v>
      </c>
      <c r="R14" s="153" t="s">
        <v>24</v>
      </c>
      <c r="S14" s="153">
        <v>0</v>
      </c>
      <c r="T14" s="169">
        <v>743</v>
      </c>
      <c r="U14" s="153" t="s">
        <v>24</v>
      </c>
      <c r="V14" s="153">
        <v>0</v>
      </c>
      <c r="W14" s="155">
        <f t="shared" si="2"/>
        <v>0</v>
      </c>
    </row>
    <row r="15" spans="1:23" ht="15.75" customHeight="1" x14ac:dyDescent="0.3">
      <c r="A15" s="4" t="s">
        <v>23</v>
      </c>
      <c r="B15" s="21">
        <v>743</v>
      </c>
      <c r="C15" s="6" t="s">
        <v>24</v>
      </c>
      <c r="D15" s="7">
        <v>0</v>
      </c>
      <c r="E15" s="21">
        <v>744</v>
      </c>
      <c r="F15" s="6" t="s">
        <v>24</v>
      </c>
      <c r="G15" s="23">
        <v>0</v>
      </c>
      <c r="H15" s="8">
        <f t="shared" si="4"/>
        <v>1000</v>
      </c>
      <c r="I15" s="9"/>
      <c r="J15" s="16">
        <v>20284</v>
      </c>
      <c r="K15" s="9">
        <v>0</v>
      </c>
      <c r="L15" s="26">
        <v>304.3</v>
      </c>
      <c r="M15" s="27">
        <f>J15+K15+L15</f>
        <v>20588.3</v>
      </c>
      <c r="N15" s="26"/>
      <c r="O15" s="27">
        <v>8966.0999999999985</v>
      </c>
      <c r="P15" s="100"/>
      <c r="Q15" s="167">
        <v>743</v>
      </c>
      <c r="R15" s="153" t="s">
        <v>24</v>
      </c>
      <c r="S15" s="153">
        <v>0</v>
      </c>
      <c r="T15" s="169">
        <v>744</v>
      </c>
      <c r="U15" s="153" t="s">
        <v>24</v>
      </c>
      <c r="V15" s="153">
        <v>0</v>
      </c>
      <c r="W15" s="155">
        <f t="shared" si="2"/>
        <v>8966.0999999999985</v>
      </c>
    </row>
    <row r="16" spans="1:23" ht="15.75" customHeight="1" x14ac:dyDescent="0.3">
      <c r="A16" s="4" t="s">
        <v>23</v>
      </c>
      <c r="B16" s="21">
        <v>744</v>
      </c>
      <c r="C16" s="6" t="s">
        <v>24</v>
      </c>
      <c r="D16" s="7">
        <v>0</v>
      </c>
      <c r="E16" s="21">
        <v>745</v>
      </c>
      <c r="F16" s="6" t="s">
        <v>24</v>
      </c>
      <c r="G16" s="23">
        <v>0</v>
      </c>
      <c r="H16" s="8">
        <f t="shared" ref="H16" si="5">(E16*1000+G16)-(B16*1000+D16)</f>
        <v>1000</v>
      </c>
      <c r="I16" s="9"/>
      <c r="J16" s="16">
        <v>4959.3</v>
      </c>
      <c r="K16" s="9">
        <v>0</v>
      </c>
      <c r="L16" s="26">
        <v>5272.3</v>
      </c>
      <c r="M16" s="27">
        <f t="shared" si="3"/>
        <v>10231.6</v>
      </c>
      <c r="N16" s="26"/>
      <c r="O16" s="27">
        <v>8588.4</v>
      </c>
      <c r="P16" s="100"/>
      <c r="Q16" s="167">
        <v>744</v>
      </c>
      <c r="R16" s="153" t="s">
        <v>24</v>
      </c>
      <c r="S16" s="153">
        <v>0</v>
      </c>
      <c r="T16" s="169">
        <v>745</v>
      </c>
      <c r="U16" s="153" t="s">
        <v>24</v>
      </c>
      <c r="V16" s="153">
        <v>0</v>
      </c>
      <c r="W16" s="155">
        <f t="shared" si="2"/>
        <v>8588.4</v>
      </c>
    </row>
    <row r="17" spans="1:25" ht="15" thickBot="1" x14ac:dyDescent="0.35">
      <c r="A17" s="4" t="s">
        <v>23</v>
      </c>
      <c r="B17" s="21">
        <v>745</v>
      </c>
      <c r="C17" s="6" t="s">
        <v>24</v>
      </c>
      <c r="D17" s="7">
        <v>515</v>
      </c>
      <c r="E17" s="21">
        <v>746</v>
      </c>
      <c r="F17" s="6" t="s">
        <v>24</v>
      </c>
      <c r="G17" s="23">
        <v>0</v>
      </c>
      <c r="H17" s="8">
        <f t="shared" si="4"/>
        <v>485</v>
      </c>
      <c r="I17" s="9"/>
      <c r="J17" s="16">
        <v>7203.3</v>
      </c>
      <c r="K17" s="9">
        <v>0</v>
      </c>
      <c r="L17" s="26">
        <v>1133.9000000000001</v>
      </c>
      <c r="M17" s="27">
        <f t="shared" si="3"/>
        <v>8337.2000000000007</v>
      </c>
      <c r="N17" s="26"/>
      <c r="O17" s="27">
        <v>8337.2000000000007</v>
      </c>
      <c r="P17" s="100"/>
      <c r="Q17" s="167">
        <v>745</v>
      </c>
      <c r="R17" s="153" t="s">
        <v>24</v>
      </c>
      <c r="S17" s="153">
        <v>515</v>
      </c>
      <c r="T17" s="169">
        <v>746</v>
      </c>
      <c r="U17" s="153" t="s">
        <v>24</v>
      </c>
      <c r="V17" s="153">
        <v>0</v>
      </c>
      <c r="W17" s="155">
        <f t="shared" si="2"/>
        <v>8337.2000000000007</v>
      </c>
    </row>
    <row r="18" spans="1:25" ht="15" thickBot="1" x14ac:dyDescent="0.35">
      <c r="A18" s="11" t="str">
        <f>"TOTAL - "&amp;A6</f>
        <v>TOTAL - RODOVIA</v>
      </c>
      <c r="B18" s="12"/>
      <c r="C18" s="12"/>
      <c r="D18" s="12"/>
      <c r="E18" s="12"/>
      <c r="F18" s="12"/>
      <c r="G18" s="12"/>
      <c r="H18" s="12"/>
      <c r="I18" s="13">
        <f>SUM(I7:I17)</f>
        <v>0</v>
      </c>
      <c r="J18" s="13">
        <f>SUM(J7:J17)</f>
        <v>141112.49999999997</v>
      </c>
      <c r="K18" s="13">
        <f>SUM(K7:K17)</f>
        <v>0</v>
      </c>
      <c r="L18" s="13">
        <f>SUM(L7:L17)</f>
        <v>37346.400000000001</v>
      </c>
      <c r="M18" s="13">
        <f>SUM(M8:M17)</f>
        <v>137431.1</v>
      </c>
      <c r="N18" s="13"/>
      <c r="O18" s="13">
        <f>SUM(O8:O17)</f>
        <v>29390.399999999998</v>
      </c>
      <c r="P18" s="152"/>
      <c r="Q18" s="156"/>
      <c r="R18" s="157"/>
      <c r="S18" s="157"/>
      <c r="T18" s="157"/>
      <c r="U18" s="157"/>
      <c r="V18" s="158"/>
      <c r="W18" s="159">
        <f>SUM(W8:W17)</f>
        <v>29390.399999999998</v>
      </c>
      <c r="Y18" s="39"/>
    </row>
    <row r="19" spans="1:25" ht="15" thickBot="1" x14ac:dyDescent="0.35">
      <c r="A19" s="220" t="s">
        <v>37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2"/>
    </row>
    <row r="20" spans="1:25" x14ac:dyDescent="0.3">
      <c r="A20" s="30" t="s">
        <v>38</v>
      </c>
      <c r="B20" s="15">
        <v>0</v>
      </c>
      <c r="C20" s="15" t="s">
        <v>24</v>
      </c>
      <c r="D20" s="28">
        <v>0</v>
      </c>
      <c r="E20" s="15">
        <v>0</v>
      </c>
      <c r="F20" s="15" t="s">
        <v>24</v>
      </c>
      <c r="G20" s="28">
        <v>41.869</v>
      </c>
      <c r="H20" s="29">
        <v>41.869</v>
      </c>
      <c r="I20" s="29"/>
      <c r="J20" s="29">
        <v>0</v>
      </c>
      <c r="K20" s="29"/>
      <c r="L20" s="29">
        <v>185.63510500000001</v>
      </c>
      <c r="M20" s="27">
        <f>(J20+K20+L20)</f>
        <v>185.63510500000001</v>
      </c>
    </row>
    <row r="21" spans="1:25" x14ac:dyDescent="0.3">
      <c r="A21" s="30" t="s">
        <v>39</v>
      </c>
      <c r="B21" s="15">
        <v>0</v>
      </c>
      <c r="C21" s="15" t="s">
        <v>24</v>
      </c>
      <c r="D21" s="28">
        <v>0</v>
      </c>
      <c r="E21" s="15">
        <v>0</v>
      </c>
      <c r="F21" s="15" t="s">
        <v>24</v>
      </c>
      <c r="G21" s="28">
        <v>42.957999999999998</v>
      </c>
      <c r="H21" s="29">
        <v>42.957999999999998</v>
      </c>
      <c r="I21" s="29"/>
      <c r="J21" s="29">
        <v>17.044429999999998</v>
      </c>
      <c r="K21" s="29"/>
      <c r="L21" s="29">
        <v>191.43623999999997</v>
      </c>
      <c r="M21" s="27">
        <f t="shared" ref="M21:M23" si="6">(J21+K21+L21)</f>
        <v>208.48066999999998</v>
      </c>
      <c r="Q21" s="94"/>
    </row>
    <row r="22" spans="1:25" x14ac:dyDescent="0.3">
      <c r="A22" s="30" t="s">
        <v>40</v>
      </c>
      <c r="B22" s="15">
        <v>0</v>
      </c>
      <c r="C22" s="15" t="s">
        <v>24</v>
      </c>
      <c r="D22" s="28">
        <v>0</v>
      </c>
      <c r="E22" s="15">
        <v>0</v>
      </c>
      <c r="F22" s="15" t="s">
        <v>24</v>
      </c>
      <c r="G22" s="28">
        <v>50.408999999999999</v>
      </c>
      <c r="H22" s="29">
        <v>50.408999999999999</v>
      </c>
      <c r="I22" s="29"/>
      <c r="J22" s="29">
        <v>366.92170500000003</v>
      </c>
      <c r="K22" s="29"/>
      <c r="L22" s="29">
        <v>51.526999999999994</v>
      </c>
      <c r="M22" s="27">
        <f t="shared" si="6"/>
        <v>418.44870500000002</v>
      </c>
    </row>
    <row r="23" spans="1:25" x14ac:dyDescent="0.3">
      <c r="A23" s="30" t="s">
        <v>41</v>
      </c>
      <c r="B23" s="15">
        <v>0</v>
      </c>
      <c r="C23" s="15" t="s">
        <v>24</v>
      </c>
      <c r="D23" s="28">
        <v>0</v>
      </c>
      <c r="E23" s="15">
        <v>0</v>
      </c>
      <c r="F23" s="15" t="s">
        <v>24</v>
      </c>
      <c r="G23" s="28">
        <v>49.918999999999997</v>
      </c>
      <c r="H23" s="29">
        <v>49.918999999999997</v>
      </c>
      <c r="I23" s="29"/>
      <c r="J23" s="29">
        <v>466.38241999999997</v>
      </c>
      <c r="K23" s="29"/>
      <c r="L23" s="29">
        <v>51.05</v>
      </c>
      <c r="M23" s="196">
        <f t="shared" si="6"/>
        <v>517.43241999999998</v>
      </c>
    </row>
    <row r="24" spans="1:25" ht="15" thickBot="1" x14ac:dyDescent="0.35">
      <c r="A24" s="197" t="str">
        <f>"TOTAL- ACESSOS"</f>
        <v>TOTAL- ACESSOS</v>
      </c>
      <c r="B24" s="198"/>
      <c r="C24" s="198"/>
      <c r="D24" s="198"/>
      <c r="E24" s="198"/>
      <c r="F24" s="198"/>
      <c r="G24" s="198"/>
      <c r="H24" s="199"/>
      <c r="I24" s="200">
        <f t="shared" ref="I24:L24" si="7">SUM(I20:I23)</f>
        <v>0</v>
      </c>
      <c r="J24" s="200">
        <f t="shared" si="7"/>
        <v>850.34855500000003</v>
      </c>
      <c r="K24" s="200">
        <f t="shared" si="7"/>
        <v>0</v>
      </c>
      <c r="L24" s="200">
        <f t="shared" si="7"/>
        <v>479.64834499999995</v>
      </c>
      <c r="M24" s="200">
        <f>SUM(M20:M23)</f>
        <v>1329.9969000000001</v>
      </c>
      <c r="O24" s="39">
        <f>M24</f>
        <v>1329.9969000000001</v>
      </c>
    </row>
    <row r="25" spans="1:25" ht="15" thickBot="1" x14ac:dyDescent="0.35">
      <c r="A25" s="11" t="s">
        <v>42</v>
      </c>
      <c r="B25" s="12"/>
      <c r="C25" s="12"/>
      <c r="D25" s="12"/>
      <c r="E25" s="12"/>
      <c r="F25" s="12"/>
      <c r="G25" s="12"/>
      <c r="H25" s="13"/>
      <c r="I25" s="14">
        <f t="shared" ref="I25:L25" si="8">I18+I24</f>
        <v>0</v>
      </c>
      <c r="J25" s="14">
        <f t="shared" si="8"/>
        <v>141962.84855499998</v>
      </c>
      <c r="K25" s="14">
        <f t="shared" si="8"/>
        <v>0</v>
      </c>
      <c r="L25" s="14">
        <f t="shared" si="8"/>
        <v>37826.048345000003</v>
      </c>
      <c r="M25" s="14">
        <f>M18+M24</f>
        <v>138761.0969</v>
      </c>
      <c r="O25" s="39">
        <f>O18+O24</f>
        <v>30720.3969</v>
      </c>
    </row>
    <row r="29" spans="1:25" x14ac:dyDescent="0.3">
      <c r="B29" s="21"/>
      <c r="C29" s="22"/>
      <c r="D29" s="23"/>
      <c r="E29" s="21"/>
      <c r="F29" s="22"/>
      <c r="G29" s="23"/>
      <c r="H29" s="100"/>
      <c r="K29" s="94"/>
    </row>
    <row r="30" spans="1:25" x14ac:dyDescent="0.3">
      <c r="B30" s="21"/>
      <c r="C30" s="6"/>
      <c r="D30" s="7"/>
      <c r="E30" s="21"/>
      <c r="F30" s="6"/>
      <c r="G30" s="23"/>
      <c r="H30" s="15"/>
      <c r="I30" s="15"/>
      <c r="J30" s="15"/>
      <c r="K30" s="94"/>
    </row>
    <row r="31" spans="1:25" x14ac:dyDescent="0.3">
      <c r="B31" s="21"/>
      <c r="C31" s="6"/>
      <c r="D31" s="7"/>
      <c r="E31" s="21"/>
      <c r="F31" s="6"/>
      <c r="G31" s="23"/>
      <c r="H31" s="15"/>
      <c r="K31" s="94"/>
    </row>
    <row r="32" spans="1:25" x14ac:dyDescent="0.3">
      <c r="B32" s="21"/>
      <c r="C32" s="6"/>
      <c r="D32" s="7"/>
      <c r="E32" s="21"/>
      <c r="F32" s="6"/>
      <c r="G32" s="23"/>
      <c r="H32" s="15"/>
      <c r="I32" s="15"/>
      <c r="K32" s="94"/>
    </row>
    <row r="33" spans="2:11" x14ac:dyDescent="0.3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3">
      <c r="B34" s="21"/>
      <c r="C34" s="6"/>
      <c r="D34" s="7"/>
      <c r="E34" s="21"/>
      <c r="F34" s="6"/>
      <c r="G34" s="23"/>
      <c r="H34" s="15"/>
      <c r="I34" s="15"/>
      <c r="J34" s="15"/>
      <c r="K34" s="94"/>
    </row>
    <row r="35" spans="2:11" x14ac:dyDescent="0.3">
      <c r="B35" s="21"/>
      <c r="C35" s="6"/>
      <c r="D35" s="7"/>
      <c r="E35" s="21"/>
      <c r="F35" s="6"/>
      <c r="G35" s="23"/>
      <c r="H35" s="15"/>
      <c r="K35" s="94"/>
    </row>
    <row r="36" spans="2:11" x14ac:dyDescent="0.3">
      <c r="B36" s="21"/>
      <c r="C36" s="6"/>
      <c r="D36" s="7"/>
      <c r="E36" s="21"/>
      <c r="F36" s="6"/>
      <c r="G36" s="23"/>
      <c r="H36" s="15"/>
      <c r="I36" s="15"/>
      <c r="K36" s="94"/>
    </row>
    <row r="37" spans="2:11" x14ac:dyDescent="0.3">
      <c r="B37" s="21"/>
      <c r="C37" s="6"/>
      <c r="D37" s="7"/>
      <c r="E37" s="21"/>
      <c r="F37" s="6"/>
      <c r="G37" s="23"/>
      <c r="H37" s="15"/>
      <c r="K37" s="94"/>
    </row>
    <row r="38" spans="2:11" x14ac:dyDescent="0.3">
      <c r="B38" s="21"/>
      <c r="C38" s="6"/>
      <c r="D38" s="23"/>
      <c r="E38" s="101"/>
      <c r="F38" s="6"/>
      <c r="G38" s="23"/>
      <c r="H38" s="15"/>
      <c r="K38" s="94"/>
    </row>
    <row r="39" spans="2:11" x14ac:dyDescent="0.3">
      <c r="K39" s="94"/>
    </row>
    <row r="43" spans="2:11" x14ac:dyDescent="0.3">
      <c r="I43">
        <v>7598.6</v>
      </c>
    </row>
    <row r="44" spans="2:11" x14ac:dyDescent="0.3">
      <c r="I44">
        <v>24589.599999999999</v>
      </c>
    </row>
    <row r="45" spans="2:11" x14ac:dyDescent="0.3">
      <c r="I45">
        <f>I44+I43</f>
        <v>32188.199999999997</v>
      </c>
    </row>
  </sheetData>
  <mergeCells count="14">
    <mergeCell ref="A1:M1"/>
    <mergeCell ref="B2:M2"/>
    <mergeCell ref="A3:A5"/>
    <mergeCell ref="B3:G4"/>
    <mergeCell ref="H3:H5"/>
    <mergeCell ref="I3:M3"/>
    <mergeCell ref="J4:M4"/>
    <mergeCell ref="B5:D5"/>
    <mergeCell ref="E5:G5"/>
    <mergeCell ref="Q5:W5"/>
    <mergeCell ref="N3:O3"/>
    <mergeCell ref="N6:O6"/>
    <mergeCell ref="A6:M6"/>
    <mergeCell ref="A19:M19"/>
  </mergeCells>
  <pageMargins left="0.511811024" right="0.511811024" top="0.78740157499999996" bottom="0.78740157499999996" header="0.31496062000000002" footer="0.31496062000000002"/>
  <pageSetup paperSize="8" orientation="landscape" r:id="rId1"/>
  <ignoredErrors>
    <ignoredError sqref="O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P47"/>
  <sheetViews>
    <sheetView topLeftCell="A22" zoomScale="90" zoomScaleNormal="90" workbookViewId="0">
      <selection activeCell="P26" sqref="P26:P33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10937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2" width="17.6640625" customWidth="1"/>
    <col min="13" max="13" width="18.6640625" customWidth="1"/>
    <col min="14" max="14" width="17.6640625" customWidth="1"/>
    <col min="15" max="15" width="13.6640625" customWidth="1"/>
    <col min="16" max="16" width="15.33203125" customWidth="1"/>
  </cols>
  <sheetData>
    <row r="1" spans="1:16" ht="16.8" x14ac:dyDescent="0.3">
      <c r="A1" s="263" t="s">
        <v>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5"/>
    </row>
    <row r="2" spans="1:16" x14ac:dyDescent="0.3">
      <c r="A2" s="1" t="s">
        <v>43</v>
      </c>
      <c r="B2" s="266" t="s">
        <v>2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8"/>
      <c r="O2" s="102" t="s">
        <v>3</v>
      </c>
      <c r="P2" s="103">
        <f>'SEGMENTO-01'!S2</f>
        <v>46241</v>
      </c>
    </row>
    <row r="3" spans="1:16" x14ac:dyDescent="0.3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41" t="s">
        <v>7</v>
      </c>
      <c r="J3" s="243"/>
      <c r="K3" s="243"/>
      <c r="L3" s="243"/>
      <c r="M3" s="243"/>
      <c r="N3" s="244"/>
      <c r="O3" s="250" t="s">
        <v>8</v>
      </c>
      <c r="P3" s="251"/>
    </row>
    <row r="4" spans="1:16" ht="15" customHeight="1" thickBot="1" x14ac:dyDescent="0.35">
      <c r="A4" s="229"/>
      <c r="B4" s="233"/>
      <c r="C4" s="234"/>
      <c r="D4" s="234"/>
      <c r="E4" s="234"/>
      <c r="F4" s="234"/>
      <c r="G4" s="235"/>
      <c r="H4" s="236"/>
      <c r="I4" s="241" t="s">
        <v>9</v>
      </c>
      <c r="J4" s="242"/>
      <c r="K4" s="241" t="s">
        <v>34</v>
      </c>
      <c r="L4" s="243"/>
      <c r="M4" s="243"/>
      <c r="N4" s="244"/>
      <c r="O4" s="2" t="s">
        <v>11</v>
      </c>
      <c r="P4" s="41"/>
    </row>
    <row r="5" spans="1:16" ht="42" thickBot="1" x14ac:dyDescent="0.35">
      <c r="A5" s="254"/>
      <c r="B5" s="256" t="s">
        <v>13</v>
      </c>
      <c r="C5" s="256"/>
      <c r="D5" s="256"/>
      <c r="E5" s="256" t="s">
        <v>14</v>
      </c>
      <c r="F5" s="256"/>
      <c r="G5" s="256"/>
      <c r="H5" s="255"/>
      <c r="I5" s="2" t="s">
        <v>15</v>
      </c>
      <c r="J5" s="2" t="s">
        <v>16</v>
      </c>
      <c r="K5" s="2" t="s">
        <v>17</v>
      </c>
      <c r="L5" s="2" t="s">
        <v>35</v>
      </c>
      <c r="M5" s="2" t="s">
        <v>18</v>
      </c>
      <c r="N5" s="3" t="s">
        <v>44</v>
      </c>
      <c r="O5" s="2" t="s">
        <v>20</v>
      </c>
      <c r="P5" s="3" t="s">
        <v>12</v>
      </c>
    </row>
    <row r="6" spans="1:16" x14ac:dyDescent="0.3">
      <c r="A6" s="269" t="s">
        <v>45</v>
      </c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  <c r="O6" s="104"/>
      <c r="P6" s="104"/>
    </row>
    <row r="7" spans="1:16" x14ac:dyDescent="0.3">
      <c r="A7" s="84" t="s">
        <v>46</v>
      </c>
      <c r="B7" s="85">
        <v>100</v>
      </c>
      <c r="C7" s="86" t="s">
        <v>24</v>
      </c>
      <c r="D7" s="87">
        <v>0</v>
      </c>
      <c r="E7" s="85">
        <v>100</v>
      </c>
      <c r="F7" s="86" t="s">
        <v>24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05">
        <v>29359.3</v>
      </c>
    </row>
    <row r="8" spans="1:16" x14ac:dyDescent="0.3">
      <c r="A8" s="84" t="s">
        <v>84</v>
      </c>
      <c r="B8" s="85">
        <v>200</v>
      </c>
      <c r="C8" s="86" t="s">
        <v>24</v>
      </c>
      <c r="D8" s="87">
        <v>0</v>
      </c>
      <c r="E8" s="85">
        <v>200</v>
      </c>
      <c r="F8" s="86" t="s">
        <v>24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05">
        <v>395.9</v>
      </c>
    </row>
    <row r="9" spans="1:16" x14ac:dyDescent="0.3">
      <c r="A9" s="84" t="s">
        <v>47</v>
      </c>
      <c r="B9" s="85">
        <v>300</v>
      </c>
      <c r="C9" s="86" t="s">
        <v>24</v>
      </c>
      <c r="D9" s="87">
        <v>0</v>
      </c>
      <c r="E9" s="85">
        <v>300</v>
      </c>
      <c r="F9" s="86" t="s">
        <v>24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05">
        <v>13.1</v>
      </c>
    </row>
    <row r="10" spans="1:16" x14ac:dyDescent="0.3">
      <c r="A10" s="84" t="s">
        <v>48</v>
      </c>
      <c r="B10" s="85">
        <v>0</v>
      </c>
      <c r="C10" s="86" t="s">
        <v>24</v>
      </c>
      <c r="D10" s="87">
        <v>0</v>
      </c>
      <c r="E10" s="85">
        <v>0</v>
      </c>
      <c r="F10" s="86" t="s">
        <v>24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05">
        <v>211.3</v>
      </c>
    </row>
    <row r="11" spans="1:16" x14ac:dyDescent="0.3">
      <c r="A11" s="84" t="s">
        <v>49</v>
      </c>
      <c r="B11" s="85">
        <v>0</v>
      </c>
      <c r="C11" s="86" t="s">
        <v>24</v>
      </c>
      <c r="D11" s="87">
        <v>0</v>
      </c>
      <c r="E11" s="85">
        <v>0</v>
      </c>
      <c r="F11" s="86" t="s">
        <v>24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05">
        <v>174.9</v>
      </c>
    </row>
    <row r="12" spans="1:16" x14ac:dyDescent="0.3">
      <c r="A12" s="84" t="s">
        <v>50</v>
      </c>
      <c r="B12" s="85">
        <v>0</v>
      </c>
      <c r="C12" s="86" t="s">
        <v>24</v>
      </c>
      <c r="D12" s="87">
        <v>0</v>
      </c>
      <c r="E12" s="85">
        <v>0</v>
      </c>
      <c r="F12" s="86" t="s">
        <v>24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05">
        <v>155.6</v>
      </c>
    </row>
    <row r="13" spans="1:16" x14ac:dyDescent="0.3">
      <c r="A13" s="74" t="s">
        <v>51</v>
      </c>
      <c r="B13" s="75">
        <v>0</v>
      </c>
      <c r="C13" s="76" t="s">
        <v>24</v>
      </c>
      <c r="D13" s="77">
        <v>0</v>
      </c>
      <c r="E13" s="75">
        <v>0</v>
      </c>
      <c r="F13" s="76" t="s">
        <v>24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05">
        <v>12.9</v>
      </c>
    </row>
    <row r="14" spans="1:16" x14ac:dyDescent="0.3">
      <c r="A14" s="74" t="s">
        <v>52</v>
      </c>
      <c r="B14" s="75">
        <v>0</v>
      </c>
      <c r="C14" s="76" t="s">
        <v>24</v>
      </c>
      <c r="D14" s="77">
        <v>0</v>
      </c>
      <c r="E14" s="75">
        <v>0</v>
      </c>
      <c r="F14" s="76" t="s">
        <v>24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05">
        <v>49.1</v>
      </c>
    </row>
    <row r="15" spans="1:16" x14ac:dyDescent="0.3">
      <c r="A15" s="74" t="s">
        <v>53</v>
      </c>
      <c r="B15" s="75">
        <v>0</v>
      </c>
      <c r="C15" s="76" t="s">
        <v>24</v>
      </c>
      <c r="D15" s="77">
        <v>0</v>
      </c>
      <c r="E15" s="75">
        <v>0</v>
      </c>
      <c r="F15" s="76" t="s">
        <v>24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05">
        <v>83.1</v>
      </c>
    </row>
    <row r="16" spans="1:16" x14ac:dyDescent="0.3">
      <c r="A16" s="74" t="s">
        <v>54</v>
      </c>
      <c r="B16" s="75">
        <v>0</v>
      </c>
      <c r="C16" s="76" t="s">
        <v>24</v>
      </c>
      <c r="D16" s="77">
        <v>0</v>
      </c>
      <c r="E16" s="75">
        <v>0</v>
      </c>
      <c r="F16" s="76" t="s">
        <v>24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05">
        <v>874.5</v>
      </c>
    </row>
    <row r="17" spans="1:16" x14ac:dyDescent="0.3">
      <c r="A17" s="74" t="s">
        <v>55</v>
      </c>
      <c r="B17" s="75">
        <v>0</v>
      </c>
      <c r="C17" s="76" t="s">
        <v>24</v>
      </c>
      <c r="D17" s="77">
        <v>0</v>
      </c>
      <c r="E17" s="75">
        <v>0</v>
      </c>
      <c r="F17" s="76" t="s">
        <v>24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05">
        <v>117.9</v>
      </c>
    </row>
    <row r="18" spans="1:16" x14ac:dyDescent="0.3">
      <c r="A18" s="74" t="s">
        <v>56</v>
      </c>
      <c r="B18" s="75">
        <v>100</v>
      </c>
      <c r="C18" s="76" t="s">
        <v>24</v>
      </c>
      <c r="D18" s="77">
        <v>65</v>
      </c>
      <c r="E18" s="75">
        <v>100</v>
      </c>
      <c r="F18" s="76" t="s">
        <v>24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05">
        <v>0</v>
      </c>
    </row>
    <row r="19" spans="1:16" x14ac:dyDescent="0.3">
      <c r="A19" s="74" t="s">
        <v>57</v>
      </c>
      <c r="B19" s="75">
        <v>100</v>
      </c>
      <c r="C19" s="76" t="s">
        <v>24</v>
      </c>
      <c r="D19" s="77">
        <v>115</v>
      </c>
      <c r="E19" s="75">
        <v>100</v>
      </c>
      <c r="F19" s="76" t="s">
        <v>24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05">
        <v>219.75</v>
      </c>
    </row>
    <row r="20" spans="1:16" x14ac:dyDescent="0.3">
      <c r="A20" s="74" t="s">
        <v>57</v>
      </c>
      <c r="B20" s="75">
        <v>100</v>
      </c>
      <c r="C20" s="76" t="s">
        <v>24</v>
      </c>
      <c r="D20" s="77">
        <v>140</v>
      </c>
      <c r="E20" s="75">
        <v>100</v>
      </c>
      <c r="F20" s="76" t="s">
        <v>24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05">
        <v>1015.96</v>
      </c>
    </row>
    <row r="21" spans="1:16" x14ac:dyDescent="0.3">
      <c r="A21" s="74" t="s">
        <v>58</v>
      </c>
      <c r="B21" s="75">
        <v>100</v>
      </c>
      <c r="C21" s="76" t="s">
        <v>24</v>
      </c>
      <c r="D21" s="77">
        <v>207</v>
      </c>
      <c r="E21" s="75">
        <v>100</v>
      </c>
      <c r="F21" s="76" t="s">
        <v>24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05">
        <v>8267</v>
      </c>
    </row>
    <row r="22" spans="1:16" x14ac:dyDescent="0.3">
      <c r="A22" s="74" t="s">
        <v>58</v>
      </c>
      <c r="B22" s="75">
        <v>100</v>
      </c>
      <c r="C22" s="76" t="s">
        <v>24</v>
      </c>
      <c r="D22" s="77">
        <v>275</v>
      </c>
      <c r="E22" s="75">
        <v>100</v>
      </c>
      <c r="F22" s="76" t="s">
        <v>24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05">
        <v>0</v>
      </c>
    </row>
    <row r="23" spans="1:16" ht="15" thickBot="1" x14ac:dyDescent="0.35">
      <c r="A23" s="74" t="s">
        <v>58</v>
      </c>
      <c r="B23" s="75">
        <v>100</v>
      </c>
      <c r="C23" s="76" t="s">
        <v>24</v>
      </c>
      <c r="D23" s="77">
        <v>29</v>
      </c>
      <c r="E23" s="75">
        <v>100</v>
      </c>
      <c r="F23" s="76" t="s">
        <v>24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05">
        <v>0</v>
      </c>
    </row>
    <row r="24" spans="1:16" ht="15" thickBot="1" x14ac:dyDescent="0.35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40950.31</v>
      </c>
    </row>
    <row r="25" spans="1:16" ht="15" thickBot="1" x14ac:dyDescent="0.35">
      <c r="A25" s="220" t="s">
        <v>59</v>
      </c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2"/>
      <c r="O25" s="104"/>
      <c r="P25" s="104"/>
    </row>
    <row r="26" spans="1:16" x14ac:dyDescent="0.3">
      <c r="A26" s="74" t="s">
        <v>60</v>
      </c>
      <c r="B26" s="75">
        <v>714</v>
      </c>
      <c r="C26" s="76" t="s">
        <v>24</v>
      </c>
      <c r="D26" s="77">
        <v>107</v>
      </c>
      <c r="E26" s="75">
        <v>714</v>
      </c>
      <c r="F26" s="76" t="s">
        <v>24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991.1</v>
      </c>
    </row>
    <row r="27" spans="1:16" x14ac:dyDescent="0.3">
      <c r="A27" s="74" t="s">
        <v>61</v>
      </c>
      <c r="B27" s="75">
        <v>713</v>
      </c>
      <c r="C27" s="76" t="s">
        <v>24</v>
      </c>
      <c r="D27" s="77">
        <v>920</v>
      </c>
      <c r="E27" s="75">
        <v>715</v>
      </c>
      <c r="F27" s="76" t="s">
        <v>24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 t="shared" ref="N27:N40" si="4">(K27+L27+M27)</f>
        <v>14160.99651000007</v>
      </c>
      <c r="O27" s="89"/>
      <c r="P27" s="92">
        <v>1208.8000000000002</v>
      </c>
    </row>
    <row r="28" spans="1:16" x14ac:dyDescent="0.3">
      <c r="A28" s="74" t="s">
        <v>62</v>
      </c>
      <c r="B28" s="75">
        <v>0</v>
      </c>
      <c r="C28" s="76" t="s">
        <v>24</v>
      </c>
      <c r="D28" s="77">
        <v>0</v>
      </c>
      <c r="E28" s="75">
        <v>0</v>
      </c>
      <c r="F28" s="76" t="s">
        <v>24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si="4"/>
        <v>137.25284000000002</v>
      </c>
      <c r="O28" s="89"/>
      <c r="P28" s="92">
        <v>169.8</v>
      </c>
    </row>
    <row r="29" spans="1:16" x14ac:dyDescent="0.3">
      <c r="A29" s="74" t="s">
        <v>63</v>
      </c>
      <c r="B29" s="75">
        <v>0</v>
      </c>
      <c r="C29" s="76" t="s">
        <v>24</v>
      </c>
      <c r="D29" s="77">
        <v>0</v>
      </c>
      <c r="E29" s="75">
        <v>0</v>
      </c>
      <c r="F29" s="76" t="s">
        <v>24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152.5</v>
      </c>
    </row>
    <row r="30" spans="1:16" x14ac:dyDescent="0.3">
      <c r="A30" s="74" t="s">
        <v>64</v>
      </c>
      <c r="B30" s="75">
        <v>0</v>
      </c>
      <c r="C30" s="76" t="s">
        <v>24</v>
      </c>
      <c r="D30" s="77">
        <v>0</v>
      </c>
      <c r="E30" s="75">
        <v>0</v>
      </c>
      <c r="F30" s="76" t="s">
        <v>24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91.7</v>
      </c>
    </row>
    <row r="31" spans="1:16" x14ac:dyDescent="0.3">
      <c r="A31" s="74" t="s">
        <v>65</v>
      </c>
      <c r="B31" s="75">
        <v>0</v>
      </c>
      <c r="C31" s="76" t="s">
        <v>24</v>
      </c>
      <c r="D31" s="77">
        <v>0</v>
      </c>
      <c r="E31" s="75">
        <v>0</v>
      </c>
      <c r="F31" s="76" t="s">
        <v>24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152.4</v>
      </c>
    </row>
    <row r="32" spans="1:16" x14ac:dyDescent="0.3">
      <c r="A32" s="74" t="s">
        <v>66</v>
      </c>
      <c r="B32" s="75">
        <v>0</v>
      </c>
      <c r="C32" s="76" t="s">
        <v>24</v>
      </c>
      <c r="D32" s="77">
        <v>0</v>
      </c>
      <c r="E32" s="75">
        <v>0</v>
      </c>
      <c r="F32" s="76" t="s">
        <v>24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131.69999999999999</v>
      </c>
    </row>
    <row r="33" spans="1:16" x14ac:dyDescent="0.3">
      <c r="A33" s="74" t="s">
        <v>67</v>
      </c>
      <c r="B33" s="75">
        <v>0</v>
      </c>
      <c r="C33" s="76" t="s">
        <v>24</v>
      </c>
      <c r="D33" s="77">
        <v>0</v>
      </c>
      <c r="E33" s="75">
        <v>0</v>
      </c>
      <c r="F33" s="76" t="s">
        <v>24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126</v>
      </c>
    </row>
    <row r="34" spans="1:16" x14ac:dyDescent="0.3">
      <c r="A34" s="74" t="s">
        <v>68</v>
      </c>
      <c r="B34" s="75">
        <v>714</v>
      </c>
      <c r="C34" s="76" t="s">
        <v>24</v>
      </c>
      <c r="D34" s="77">
        <v>110</v>
      </c>
      <c r="E34" s="75">
        <v>714</v>
      </c>
      <c r="F34" s="76" t="s">
        <v>24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236.8</v>
      </c>
    </row>
    <row r="35" spans="1:16" x14ac:dyDescent="0.3">
      <c r="A35" s="74" t="s">
        <v>69</v>
      </c>
      <c r="B35" s="75">
        <v>713</v>
      </c>
      <c r="C35" s="76" t="s">
        <v>24</v>
      </c>
      <c r="D35" s="77">
        <v>889</v>
      </c>
      <c r="E35" s="75">
        <v>715</v>
      </c>
      <c r="F35" s="76" t="s">
        <v>24</v>
      </c>
      <c r="G35" s="77">
        <v>405.43999999994412</v>
      </c>
      <c r="H35" s="78">
        <f t="shared" si="3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811.5</v>
      </c>
    </row>
    <row r="36" spans="1:16" x14ac:dyDescent="0.3">
      <c r="A36" s="74" t="s">
        <v>70</v>
      </c>
      <c r="B36" s="75">
        <v>0</v>
      </c>
      <c r="C36" s="76" t="s">
        <v>24</v>
      </c>
      <c r="D36" s="77">
        <v>0</v>
      </c>
      <c r="E36" s="75">
        <v>0</v>
      </c>
      <c r="F36" s="76" t="s">
        <v>24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49.4</v>
      </c>
    </row>
    <row r="37" spans="1:16" x14ac:dyDescent="0.3">
      <c r="A37" s="74" t="s">
        <v>71</v>
      </c>
      <c r="B37" s="75">
        <v>0</v>
      </c>
      <c r="C37" s="76" t="s">
        <v>24</v>
      </c>
      <c r="D37" s="77">
        <v>0</v>
      </c>
      <c r="E37" s="75">
        <v>0</v>
      </c>
      <c r="F37" s="76" t="s">
        <v>24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43.5</v>
      </c>
    </row>
    <row r="38" spans="1:16" x14ac:dyDescent="0.3">
      <c r="A38" s="74" t="s">
        <v>72</v>
      </c>
      <c r="B38" s="75">
        <v>0</v>
      </c>
      <c r="C38" s="76" t="s">
        <v>24</v>
      </c>
      <c r="D38" s="77">
        <v>0</v>
      </c>
      <c r="E38" s="75">
        <v>0</v>
      </c>
      <c r="F38" s="76" t="s">
        <v>24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79.400000000000006</v>
      </c>
    </row>
    <row r="39" spans="1:16" x14ac:dyDescent="0.3">
      <c r="A39" s="74" t="s">
        <v>73</v>
      </c>
      <c r="B39" s="75">
        <v>0</v>
      </c>
      <c r="C39" s="76" t="s">
        <v>24</v>
      </c>
      <c r="D39" s="77">
        <v>0</v>
      </c>
      <c r="E39" s="75">
        <v>0</v>
      </c>
      <c r="F39" s="76" t="s">
        <v>24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ref="N39" si="5">(K39+L39+M39)</f>
        <v>64.156304999999975</v>
      </c>
      <c r="O39" s="79"/>
      <c r="P39" s="92">
        <v>61.5</v>
      </c>
    </row>
    <row r="40" spans="1:16" ht="15" thickBot="1" x14ac:dyDescent="0.35">
      <c r="A40" s="74" t="s">
        <v>74</v>
      </c>
      <c r="B40" s="75">
        <v>0</v>
      </c>
      <c r="C40" s="76" t="s">
        <v>24</v>
      </c>
      <c r="D40" s="77">
        <v>0</v>
      </c>
      <c r="E40" s="75">
        <v>0</v>
      </c>
      <c r="F40" s="76" t="s">
        <v>24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20.6</v>
      </c>
    </row>
    <row r="41" spans="1:16" ht="15" thickBot="1" x14ac:dyDescent="0.35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6">SUM(I26:I40)</f>
        <v>0</v>
      </c>
      <c r="J41" s="13">
        <f t="shared" si="6"/>
        <v>0</v>
      </c>
      <c r="K41" s="13">
        <f t="shared" si="6"/>
        <v>11547.726129998644</v>
      </c>
      <c r="L41" s="13">
        <f t="shared" si="6"/>
        <v>2033.828979999842</v>
      </c>
      <c r="M41" s="13">
        <f t="shared" si="6"/>
        <v>10202.664059999976</v>
      </c>
      <c r="N41" s="13">
        <f t="shared" si="6"/>
        <v>23784.219169998461</v>
      </c>
      <c r="O41" s="13">
        <f t="shared" si="6"/>
        <v>0</v>
      </c>
      <c r="P41" s="13">
        <f>SUM(P26:P40)</f>
        <v>4326.7</v>
      </c>
    </row>
    <row r="42" spans="1:16" ht="15" thickBot="1" x14ac:dyDescent="0.35">
      <c r="A42" s="11" t="s">
        <v>42</v>
      </c>
      <c r="B42" s="12"/>
      <c r="C42" s="12"/>
      <c r="D42" s="12"/>
      <c r="E42" s="12"/>
      <c r="F42" s="12"/>
      <c r="G42" s="12"/>
      <c r="H42" s="13"/>
      <c r="I42" s="14">
        <f t="shared" ref="I42:M42" si="7">I24+I41</f>
        <v>0</v>
      </c>
      <c r="J42" s="14">
        <f t="shared" si="7"/>
        <v>0</v>
      </c>
      <c r="K42" s="14">
        <f t="shared" si="7"/>
        <v>69756.253499998405</v>
      </c>
      <c r="L42" s="14">
        <f t="shared" si="7"/>
        <v>5421.3926149997915</v>
      </c>
      <c r="M42" s="14">
        <f t="shared" si="7"/>
        <v>12181.674814999986</v>
      </c>
      <c r="N42" s="14">
        <f>N24+N41</f>
        <v>87359.320929998183</v>
      </c>
      <c r="O42" s="14">
        <f t="shared" ref="O42" si="8">O24+O41</f>
        <v>0</v>
      </c>
      <c r="P42" s="14">
        <f>P24+P41</f>
        <v>45277.009999999995</v>
      </c>
    </row>
    <row r="44" spans="1:16" x14ac:dyDescent="0.3">
      <c r="K44" s="39">
        <f>SUM(K34:K40)</f>
        <v>3412.2403049985851</v>
      </c>
    </row>
    <row r="45" spans="1:16" x14ac:dyDescent="0.3">
      <c r="O45" s="39">
        <f>'[1]INTERSEÇÃO - km 713+700'!$P$42-P42</f>
        <v>1126.1000000000058</v>
      </c>
    </row>
    <row r="47" spans="1:16" x14ac:dyDescent="0.3">
      <c r="L47" s="39">
        <f>N42-P42</f>
        <v>42082.310929998188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AF49"/>
  <sheetViews>
    <sheetView workbookViewId="0">
      <pane ySplit="1" topLeftCell="A6" activePane="bottomLeft" state="frozen"/>
      <selection activeCell="O1" sqref="O1"/>
      <selection pane="bottomLeft" activeCell="AC46" sqref="AC46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4414062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2" width="17.6640625" customWidth="1"/>
    <col min="13" max="13" width="18.6640625" bestFit="1" customWidth="1"/>
    <col min="14" max="14" width="17.6640625" customWidth="1"/>
    <col min="16" max="16" width="47.6640625" bestFit="1" customWidth="1"/>
    <col min="17" max="17" width="5.6640625" customWidth="1"/>
    <col min="18" max="18" width="1.6640625" customWidth="1"/>
    <col min="19" max="19" width="8.44140625" bestFit="1" customWidth="1"/>
    <col min="20" max="20" width="5.6640625" customWidth="1"/>
    <col min="21" max="21" width="1.6640625" customWidth="1"/>
    <col min="22" max="22" width="8.109375" bestFit="1" customWidth="1"/>
    <col min="23" max="23" width="12.44140625" bestFit="1" customWidth="1"/>
    <col min="24" max="27" width="17.6640625" customWidth="1"/>
    <col min="28" max="28" width="18.6640625" bestFit="1" customWidth="1"/>
    <col min="29" max="29" width="17.6640625" customWidth="1"/>
    <col min="30" max="30" width="18.33203125" style="40" customWidth="1"/>
    <col min="31" max="31" width="13" style="40" customWidth="1"/>
    <col min="32" max="32" width="29" customWidth="1"/>
  </cols>
  <sheetData>
    <row r="1" spans="1:32" ht="16.8" x14ac:dyDescent="0.3">
      <c r="A1" s="263" t="s">
        <v>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5"/>
      <c r="P1" s="275" t="s">
        <v>75</v>
      </c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7"/>
    </row>
    <row r="2" spans="1:32" x14ac:dyDescent="0.3">
      <c r="A2" s="1" t="s">
        <v>43</v>
      </c>
      <c r="B2" s="266" t="s">
        <v>2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8"/>
      <c r="P2" s="183" t="s">
        <v>43</v>
      </c>
      <c r="Q2" s="278" t="s">
        <v>2</v>
      </c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80"/>
    </row>
    <row r="3" spans="1:32" x14ac:dyDescent="0.3">
      <c r="A3" s="229" t="s">
        <v>4</v>
      </c>
      <c r="B3" s="230" t="s">
        <v>5</v>
      </c>
      <c r="C3" s="231"/>
      <c r="D3" s="231"/>
      <c r="E3" s="231"/>
      <c r="F3" s="231"/>
      <c r="G3" s="232"/>
      <c r="H3" s="236" t="s">
        <v>6</v>
      </c>
      <c r="I3" s="241" t="s">
        <v>76</v>
      </c>
      <c r="J3" s="243"/>
      <c r="K3" s="243"/>
      <c r="L3" s="243"/>
      <c r="M3" s="243"/>
      <c r="N3" s="244"/>
      <c r="P3" s="229" t="s">
        <v>4</v>
      </c>
      <c r="Q3" s="230" t="s">
        <v>5</v>
      </c>
      <c r="R3" s="231"/>
      <c r="S3" s="231"/>
      <c r="T3" s="231"/>
      <c r="U3" s="231"/>
      <c r="V3" s="232"/>
      <c r="W3" s="236" t="s">
        <v>6</v>
      </c>
      <c r="X3" s="241" t="s">
        <v>76</v>
      </c>
      <c r="Y3" s="243"/>
      <c r="Z3" s="243"/>
      <c r="AA3" s="243"/>
      <c r="AB3" s="243"/>
      <c r="AC3" s="244"/>
    </row>
    <row r="4" spans="1:32" x14ac:dyDescent="0.3">
      <c r="A4" s="229"/>
      <c r="B4" s="233"/>
      <c r="C4" s="234"/>
      <c r="D4" s="234"/>
      <c r="E4" s="234"/>
      <c r="F4" s="234"/>
      <c r="G4" s="235"/>
      <c r="H4" s="236"/>
      <c r="I4" s="241" t="s">
        <v>9</v>
      </c>
      <c r="J4" s="242"/>
      <c r="K4" s="241" t="s">
        <v>34</v>
      </c>
      <c r="L4" s="243"/>
      <c r="M4" s="243"/>
      <c r="N4" s="244"/>
      <c r="P4" s="229"/>
      <c r="Q4" s="233"/>
      <c r="R4" s="234"/>
      <c r="S4" s="234"/>
      <c r="T4" s="234"/>
      <c r="U4" s="234"/>
      <c r="V4" s="235"/>
      <c r="W4" s="236"/>
      <c r="X4" s="241" t="s">
        <v>9</v>
      </c>
      <c r="Y4" s="242"/>
      <c r="Z4" s="241" t="s">
        <v>34</v>
      </c>
      <c r="AA4" s="243"/>
      <c r="AB4" s="243"/>
      <c r="AC4" s="244"/>
    </row>
    <row r="5" spans="1:32" ht="42" thickBot="1" x14ac:dyDescent="0.35">
      <c r="A5" s="254"/>
      <c r="B5" s="256" t="s">
        <v>13</v>
      </c>
      <c r="C5" s="256"/>
      <c r="D5" s="256"/>
      <c r="E5" s="256" t="s">
        <v>14</v>
      </c>
      <c r="F5" s="256"/>
      <c r="G5" s="256"/>
      <c r="H5" s="255"/>
      <c r="I5" s="2" t="s">
        <v>15</v>
      </c>
      <c r="J5" s="2" t="s">
        <v>16</v>
      </c>
      <c r="K5" s="2" t="s">
        <v>17</v>
      </c>
      <c r="L5" s="2" t="s">
        <v>35</v>
      </c>
      <c r="M5" s="2" t="s">
        <v>18</v>
      </c>
      <c r="N5" s="3" t="s">
        <v>44</v>
      </c>
      <c r="P5" s="254"/>
      <c r="Q5" s="256" t="s">
        <v>13</v>
      </c>
      <c r="R5" s="256"/>
      <c r="S5" s="256"/>
      <c r="T5" s="256" t="s">
        <v>14</v>
      </c>
      <c r="U5" s="256"/>
      <c r="V5" s="256"/>
      <c r="W5" s="255"/>
      <c r="X5" s="2" t="s">
        <v>15</v>
      </c>
      <c r="Y5" s="2" t="s">
        <v>16</v>
      </c>
      <c r="Z5" s="2" t="s">
        <v>17</v>
      </c>
      <c r="AA5" s="2" t="s">
        <v>35</v>
      </c>
      <c r="AB5" s="2" t="s">
        <v>18</v>
      </c>
      <c r="AC5" s="184" t="s">
        <v>44</v>
      </c>
      <c r="AD5" s="181" t="s">
        <v>77</v>
      </c>
      <c r="AE5" s="181" t="s">
        <v>78</v>
      </c>
      <c r="AF5" s="181" t="s">
        <v>79</v>
      </c>
    </row>
    <row r="6" spans="1:32" x14ac:dyDescent="0.3">
      <c r="A6" s="269" t="s">
        <v>80</v>
      </c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  <c r="P6" s="269" t="s">
        <v>80</v>
      </c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  <c r="AC6" s="271"/>
      <c r="AD6" s="154"/>
      <c r="AE6" s="154"/>
      <c r="AF6" s="180"/>
    </row>
    <row r="7" spans="1:32" x14ac:dyDescent="0.3">
      <c r="A7" s="4" t="s">
        <v>81</v>
      </c>
      <c r="B7" s="5">
        <v>746</v>
      </c>
      <c r="C7" s="6" t="s">
        <v>24</v>
      </c>
      <c r="D7" s="7">
        <v>20</v>
      </c>
      <c r="E7" s="5">
        <v>746</v>
      </c>
      <c r="F7" s="6" t="s">
        <v>24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f>(K7+L7+M7)</f>
        <v>54731.150000000009</v>
      </c>
      <c r="P7" s="4" t="s">
        <v>81</v>
      </c>
      <c r="Q7" s="5">
        <v>746</v>
      </c>
      <c r="R7" s="6" t="s">
        <v>24</v>
      </c>
      <c r="S7" s="7">
        <v>20</v>
      </c>
      <c r="T7" s="5">
        <v>746</v>
      </c>
      <c r="U7" s="6" t="s">
        <v>24</v>
      </c>
      <c r="V7" s="7">
        <v>640</v>
      </c>
      <c r="W7" s="8">
        <f t="shared" ref="W7:W23" si="1">(T7*1000+V7)-(Q7*1000+S7)</f>
        <v>620</v>
      </c>
      <c r="X7" s="9"/>
      <c r="Y7" s="9"/>
      <c r="Z7" s="9">
        <v>50423.5</v>
      </c>
      <c r="AA7" s="9"/>
      <c r="AB7" s="9">
        <v>0</v>
      </c>
      <c r="AC7" s="8">
        <f>(Z7+AA7+AB7)</f>
        <v>50423.5</v>
      </c>
      <c r="AD7" s="182">
        <f>N7</f>
        <v>54731.150000000009</v>
      </c>
      <c r="AE7" s="186">
        <f>AD7-AC7</f>
        <v>4307.6500000000087</v>
      </c>
      <c r="AF7" s="154" t="s">
        <v>82</v>
      </c>
    </row>
    <row r="8" spans="1:32" x14ac:dyDescent="0.3">
      <c r="A8" s="4" t="s">
        <v>46</v>
      </c>
      <c r="B8" s="5">
        <v>100</v>
      </c>
      <c r="C8" s="6" t="s">
        <v>24</v>
      </c>
      <c r="D8" s="7">
        <v>0</v>
      </c>
      <c r="E8" s="5">
        <v>100</v>
      </c>
      <c r="F8" s="6" t="s">
        <v>24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f t="shared" ref="N8:N23" si="2">(K8+L8+M8)</f>
        <v>237.74799999997487</v>
      </c>
      <c r="P8" s="4" t="s">
        <v>46</v>
      </c>
      <c r="Q8" s="5">
        <v>100</v>
      </c>
      <c r="R8" s="6" t="s">
        <v>24</v>
      </c>
      <c r="S8" s="7">
        <v>0</v>
      </c>
      <c r="T8" s="5">
        <v>100</v>
      </c>
      <c r="U8" s="6" t="s">
        <v>24</v>
      </c>
      <c r="V8" s="7">
        <v>34.339999999996508</v>
      </c>
      <c r="W8" s="8">
        <f t="shared" si="1"/>
        <v>34.339999999996508</v>
      </c>
      <c r="X8" s="9"/>
      <c r="Y8" s="9"/>
      <c r="Z8" s="9">
        <v>0</v>
      </c>
      <c r="AA8" s="9">
        <v>0</v>
      </c>
      <c r="AB8" s="9">
        <v>232.4</v>
      </c>
      <c r="AC8" s="8">
        <f t="shared" ref="AC8:AC23" si="3">(Z8+AA8+AB8)</f>
        <v>232.4</v>
      </c>
      <c r="AD8" s="182">
        <f t="shared" ref="AD8:AD25" si="4">N8</f>
        <v>237.74799999997487</v>
      </c>
      <c r="AE8" s="186">
        <f t="shared" ref="AE8:AE27" si="5">AD8-AC8</f>
        <v>5.34799999997486</v>
      </c>
      <c r="AF8" s="154" t="s">
        <v>83</v>
      </c>
    </row>
    <row r="9" spans="1:32" x14ac:dyDescent="0.3">
      <c r="A9" s="4" t="s">
        <v>84</v>
      </c>
      <c r="B9" s="5">
        <v>200</v>
      </c>
      <c r="C9" s="6" t="s">
        <v>24</v>
      </c>
      <c r="D9" s="7">
        <v>0</v>
      </c>
      <c r="E9" s="5">
        <v>200</v>
      </c>
      <c r="F9" s="6" t="s">
        <v>24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f t="shared" si="2"/>
        <v>4507.374885000032</v>
      </c>
      <c r="P9" s="4" t="s">
        <v>84</v>
      </c>
      <c r="Q9" s="5">
        <v>200</v>
      </c>
      <c r="R9" s="6" t="s">
        <v>24</v>
      </c>
      <c r="S9" s="7">
        <v>0</v>
      </c>
      <c r="T9" s="5">
        <v>200</v>
      </c>
      <c r="U9" s="6" t="s">
        <v>24</v>
      </c>
      <c r="V9" s="7">
        <v>602.7609999999986</v>
      </c>
      <c r="W9" s="8">
        <f t="shared" si="1"/>
        <v>602.7609999999986</v>
      </c>
      <c r="X9" s="9"/>
      <c r="Y9" s="9"/>
      <c r="Z9" s="9">
        <v>1198.3</v>
      </c>
      <c r="AA9" s="9"/>
      <c r="AB9" s="9">
        <v>1450.8</v>
      </c>
      <c r="AC9" s="8">
        <f t="shared" si="3"/>
        <v>2649.1</v>
      </c>
      <c r="AD9" s="182">
        <f t="shared" si="4"/>
        <v>4507.374885000032</v>
      </c>
      <c r="AE9" s="186">
        <f t="shared" si="5"/>
        <v>1858.2748850000321</v>
      </c>
      <c r="AF9" s="154" t="s">
        <v>83</v>
      </c>
    </row>
    <row r="10" spans="1:32" x14ac:dyDescent="0.3">
      <c r="A10" s="4" t="s">
        <v>85</v>
      </c>
      <c r="B10" s="5">
        <v>0</v>
      </c>
      <c r="C10" s="6" t="s">
        <v>24</v>
      </c>
      <c r="D10" s="7">
        <v>0</v>
      </c>
      <c r="E10" s="5">
        <v>0</v>
      </c>
      <c r="F10" s="6" t="s">
        <v>24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f t="shared" si="2"/>
        <v>569.11898999999994</v>
      </c>
      <c r="P10" s="4" t="s">
        <v>85</v>
      </c>
      <c r="Q10" s="5">
        <v>0</v>
      </c>
      <c r="R10" s="6" t="s">
        <v>24</v>
      </c>
      <c r="S10" s="7">
        <v>0</v>
      </c>
      <c r="T10" s="5">
        <v>0</v>
      </c>
      <c r="U10" s="6" t="s">
        <v>24</v>
      </c>
      <c r="V10" s="7">
        <v>112.831</v>
      </c>
      <c r="W10" s="8">
        <f t="shared" si="1"/>
        <v>112.831</v>
      </c>
      <c r="X10" s="9"/>
      <c r="Y10" s="9"/>
      <c r="Z10" s="9">
        <v>0</v>
      </c>
      <c r="AA10" s="9">
        <v>0</v>
      </c>
      <c r="AB10" s="9">
        <v>593.6</v>
      </c>
      <c r="AC10" s="8">
        <f t="shared" si="3"/>
        <v>593.6</v>
      </c>
      <c r="AD10" s="182">
        <f t="shared" si="4"/>
        <v>569.11898999999994</v>
      </c>
      <c r="AE10" s="186">
        <f t="shared" si="5"/>
        <v>-24.481010000000083</v>
      </c>
      <c r="AF10" s="154" t="s">
        <v>83</v>
      </c>
    </row>
    <row r="11" spans="1:32" x14ac:dyDescent="0.3">
      <c r="A11" s="4" t="s">
        <v>86</v>
      </c>
      <c r="B11" s="5">
        <v>0</v>
      </c>
      <c r="C11" s="6" t="s">
        <v>24</v>
      </c>
      <c r="D11" s="7">
        <v>0</v>
      </c>
      <c r="E11" s="5">
        <v>0</v>
      </c>
      <c r="F11" s="6" t="s">
        <v>24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f t="shared" si="2"/>
        <v>271.69440000000003</v>
      </c>
      <c r="P11" s="4" t="s">
        <v>86</v>
      </c>
      <c r="Q11" s="5">
        <v>0</v>
      </c>
      <c r="R11" s="6" t="s">
        <v>24</v>
      </c>
      <c r="S11" s="7">
        <v>0</v>
      </c>
      <c r="T11" s="5">
        <v>0</v>
      </c>
      <c r="U11" s="6" t="s">
        <v>24</v>
      </c>
      <c r="V11" s="7">
        <v>42.08</v>
      </c>
      <c r="W11" s="8">
        <f t="shared" si="1"/>
        <v>42.08</v>
      </c>
      <c r="X11" s="9"/>
      <c r="Y11" s="9"/>
      <c r="Z11" s="9">
        <v>122.5</v>
      </c>
      <c r="AA11" s="9">
        <v>0</v>
      </c>
      <c r="AB11" s="9">
        <v>129.80000000000001</v>
      </c>
      <c r="AC11" s="8">
        <f t="shared" si="3"/>
        <v>252.3</v>
      </c>
      <c r="AD11" s="182">
        <f t="shared" si="4"/>
        <v>271.69440000000003</v>
      </c>
      <c r="AE11" s="186">
        <f t="shared" si="5"/>
        <v>19.394400000000019</v>
      </c>
      <c r="AF11" s="154" t="s">
        <v>83</v>
      </c>
    </row>
    <row r="12" spans="1:32" x14ac:dyDescent="0.3">
      <c r="A12" s="4" t="s">
        <v>48</v>
      </c>
      <c r="B12" s="5">
        <v>0</v>
      </c>
      <c r="C12" s="6" t="s">
        <v>24</v>
      </c>
      <c r="D12" s="7">
        <v>0</v>
      </c>
      <c r="E12" s="5">
        <v>0</v>
      </c>
      <c r="F12" s="6" t="s">
        <v>24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f t="shared" si="2"/>
        <v>285.94227000000001</v>
      </c>
      <c r="P12" s="4" t="s">
        <v>48</v>
      </c>
      <c r="Q12" s="5">
        <v>0</v>
      </c>
      <c r="R12" s="6" t="s">
        <v>24</v>
      </c>
      <c r="S12" s="7">
        <v>0</v>
      </c>
      <c r="T12" s="5">
        <v>0</v>
      </c>
      <c r="U12" s="6" t="s">
        <v>24</v>
      </c>
      <c r="V12" s="7">
        <v>72.730999999999995</v>
      </c>
      <c r="W12" s="8">
        <f t="shared" si="1"/>
        <v>72.730999999999995</v>
      </c>
      <c r="X12" s="9"/>
      <c r="Y12" s="9"/>
      <c r="Z12" s="9">
        <v>73.400000000000006</v>
      </c>
      <c r="AA12" s="9">
        <v>0</v>
      </c>
      <c r="AB12" s="9">
        <v>159.4</v>
      </c>
      <c r="AC12" s="8">
        <f t="shared" si="3"/>
        <v>232.8</v>
      </c>
      <c r="AD12" s="182">
        <f t="shared" si="4"/>
        <v>285.94227000000001</v>
      </c>
      <c r="AE12" s="186">
        <f t="shared" si="5"/>
        <v>53.142269999999996</v>
      </c>
      <c r="AF12" s="154" t="s">
        <v>83</v>
      </c>
    </row>
    <row r="13" spans="1:32" x14ac:dyDescent="0.3">
      <c r="A13" s="4" t="s">
        <v>49</v>
      </c>
      <c r="B13" s="5">
        <v>0</v>
      </c>
      <c r="C13" s="6" t="s">
        <v>24</v>
      </c>
      <c r="D13" s="7">
        <v>0</v>
      </c>
      <c r="E13" s="5">
        <v>0</v>
      </c>
      <c r="F13" s="6" t="s">
        <v>24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f t="shared" si="2"/>
        <v>263.68909000000002</v>
      </c>
      <c r="P13" s="4" t="s">
        <v>49</v>
      </c>
      <c r="Q13" s="5">
        <v>0</v>
      </c>
      <c r="R13" s="6" t="s">
        <v>24</v>
      </c>
      <c r="S13" s="7">
        <v>0</v>
      </c>
      <c r="T13" s="5">
        <v>0</v>
      </c>
      <c r="U13" s="6" t="s">
        <v>24</v>
      </c>
      <c r="V13" s="7">
        <v>57.868000000000002</v>
      </c>
      <c r="W13" s="8">
        <f t="shared" si="1"/>
        <v>57.868000000000002</v>
      </c>
      <c r="X13" s="9"/>
      <c r="Y13" s="9"/>
      <c r="Z13" s="9">
        <v>5.8</v>
      </c>
      <c r="AA13" s="9">
        <v>0</v>
      </c>
      <c r="AB13" s="9">
        <v>198.4</v>
      </c>
      <c r="AC13" s="8">
        <f t="shared" si="3"/>
        <v>204.20000000000002</v>
      </c>
      <c r="AD13" s="182">
        <f t="shared" si="4"/>
        <v>263.68909000000002</v>
      </c>
      <c r="AE13" s="186">
        <f t="shared" si="5"/>
        <v>59.489090000000004</v>
      </c>
      <c r="AF13" s="154" t="s">
        <v>83</v>
      </c>
    </row>
    <row r="14" spans="1:32" x14ac:dyDescent="0.3">
      <c r="A14" s="4" t="s">
        <v>50</v>
      </c>
      <c r="B14" s="5">
        <v>0</v>
      </c>
      <c r="C14" s="6" t="s">
        <v>24</v>
      </c>
      <c r="D14" s="7">
        <v>0</v>
      </c>
      <c r="E14" s="5">
        <v>0</v>
      </c>
      <c r="F14" s="6" t="s">
        <v>24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f t="shared" si="2"/>
        <v>298.02652499999999</v>
      </c>
      <c r="P14" s="4" t="s">
        <v>50</v>
      </c>
      <c r="Q14" s="5">
        <v>0</v>
      </c>
      <c r="R14" s="6" t="s">
        <v>24</v>
      </c>
      <c r="S14" s="7">
        <v>0</v>
      </c>
      <c r="T14" s="5">
        <v>0</v>
      </c>
      <c r="U14" s="6" t="s">
        <v>24</v>
      </c>
      <c r="V14" s="7">
        <v>79.885999999999996</v>
      </c>
      <c r="W14" s="8">
        <f t="shared" si="1"/>
        <v>79.885999999999996</v>
      </c>
      <c r="X14" s="9"/>
      <c r="Y14" s="9"/>
      <c r="Z14" s="9">
        <v>1.1000000000000001</v>
      </c>
      <c r="AA14" s="9">
        <v>0</v>
      </c>
      <c r="AB14" s="9">
        <v>261.2</v>
      </c>
      <c r="AC14" s="8">
        <f t="shared" si="3"/>
        <v>262.3</v>
      </c>
      <c r="AD14" s="182">
        <f t="shared" si="4"/>
        <v>298.02652499999999</v>
      </c>
      <c r="AE14" s="186">
        <f t="shared" si="5"/>
        <v>35.726524999999981</v>
      </c>
      <c r="AF14" s="154" t="s">
        <v>83</v>
      </c>
    </row>
    <row r="15" spans="1:32" x14ac:dyDescent="0.3">
      <c r="A15" s="4" t="s">
        <v>51</v>
      </c>
      <c r="B15" s="5">
        <v>0</v>
      </c>
      <c r="C15" s="6" t="s">
        <v>24</v>
      </c>
      <c r="D15" s="7">
        <v>0</v>
      </c>
      <c r="E15" s="5">
        <v>0</v>
      </c>
      <c r="F15" s="6" t="s">
        <v>24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f t="shared" si="2"/>
        <v>354.49757499999993</v>
      </c>
      <c r="P15" s="4" t="s">
        <v>51</v>
      </c>
      <c r="Q15" s="5">
        <v>0</v>
      </c>
      <c r="R15" s="6" t="s">
        <v>24</v>
      </c>
      <c r="S15" s="7">
        <v>0</v>
      </c>
      <c r="T15" s="5">
        <v>0</v>
      </c>
      <c r="U15" s="6" t="s">
        <v>24</v>
      </c>
      <c r="V15" s="7">
        <v>95.063999999999993</v>
      </c>
      <c r="W15" s="8">
        <f t="shared" si="1"/>
        <v>95.063999999999993</v>
      </c>
      <c r="X15" s="9"/>
      <c r="Y15" s="9"/>
      <c r="Z15" s="9">
        <v>158.1</v>
      </c>
      <c r="AA15" s="9">
        <v>0</v>
      </c>
      <c r="AB15" s="9">
        <v>214.7</v>
      </c>
      <c r="AC15" s="8">
        <f t="shared" si="3"/>
        <v>372.79999999999995</v>
      </c>
      <c r="AD15" s="182">
        <f t="shared" si="4"/>
        <v>354.49757499999993</v>
      </c>
      <c r="AE15" s="186">
        <f t="shared" si="5"/>
        <v>-18.302425000000028</v>
      </c>
      <c r="AF15" s="154" t="s">
        <v>83</v>
      </c>
    </row>
    <row r="16" spans="1:32" x14ac:dyDescent="0.3">
      <c r="A16" s="4" t="s">
        <v>52</v>
      </c>
      <c r="B16" s="5">
        <v>0</v>
      </c>
      <c r="C16" s="6" t="s">
        <v>24</v>
      </c>
      <c r="D16" s="7">
        <v>0</v>
      </c>
      <c r="E16" s="5">
        <v>0</v>
      </c>
      <c r="F16" s="6" t="s">
        <v>24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f t="shared" si="2"/>
        <v>266.09887500000002</v>
      </c>
      <c r="P16" s="4" t="s">
        <v>52</v>
      </c>
      <c r="Q16" s="5">
        <v>0</v>
      </c>
      <c r="R16" s="6" t="s">
        <v>24</v>
      </c>
      <c r="S16" s="7">
        <v>0</v>
      </c>
      <c r="T16" s="5">
        <v>0</v>
      </c>
      <c r="U16" s="6" t="s">
        <v>24</v>
      </c>
      <c r="V16" s="7">
        <v>39.270000000000003</v>
      </c>
      <c r="W16" s="8">
        <f t="shared" si="1"/>
        <v>39.270000000000003</v>
      </c>
      <c r="X16" s="9"/>
      <c r="Y16" s="9"/>
      <c r="Z16" s="9">
        <v>84.6</v>
      </c>
      <c r="AA16" s="9">
        <v>0</v>
      </c>
      <c r="AB16" s="9">
        <v>88.5</v>
      </c>
      <c r="AC16" s="8">
        <f t="shared" si="3"/>
        <v>173.1</v>
      </c>
      <c r="AD16" s="182">
        <f t="shared" si="4"/>
        <v>266.09887500000002</v>
      </c>
      <c r="AE16" s="186">
        <f t="shared" si="5"/>
        <v>92.998875000000027</v>
      </c>
      <c r="AF16" s="154" t="s">
        <v>83</v>
      </c>
    </row>
    <row r="17" spans="1:32" x14ac:dyDescent="0.3">
      <c r="A17" s="4" t="s">
        <v>53</v>
      </c>
      <c r="B17" s="5">
        <v>0</v>
      </c>
      <c r="C17" s="6" t="s">
        <v>24</v>
      </c>
      <c r="D17" s="7">
        <v>0</v>
      </c>
      <c r="E17" s="5">
        <v>0</v>
      </c>
      <c r="F17" s="6" t="s">
        <v>24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f t="shared" si="2"/>
        <v>189.77114999999998</v>
      </c>
      <c r="P17" s="4" t="s">
        <v>53</v>
      </c>
      <c r="Q17" s="5">
        <v>0</v>
      </c>
      <c r="R17" s="6" t="s">
        <v>24</v>
      </c>
      <c r="S17" s="7">
        <v>0</v>
      </c>
      <c r="T17" s="5">
        <v>0</v>
      </c>
      <c r="U17" s="6" t="s">
        <v>24</v>
      </c>
      <c r="V17" s="7">
        <v>47.781999999999996</v>
      </c>
      <c r="W17" s="8">
        <f t="shared" si="1"/>
        <v>47.781999999999996</v>
      </c>
      <c r="X17" s="9"/>
      <c r="Y17" s="9"/>
      <c r="Z17" s="9">
        <v>76</v>
      </c>
      <c r="AA17" s="9">
        <v>0</v>
      </c>
      <c r="AB17" s="9">
        <v>99.5</v>
      </c>
      <c r="AC17" s="8">
        <f t="shared" si="3"/>
        <v>175.5</v>
      </c>
      <c r="AD17" s="182">
        <f t="shared" si="4"/>
        <v>189.77114999999998</v>
      </c>
      <c r="AE17" s="186">
        <f t="shared" si="5"/>
        <v>14.271149999999977</v>
      </c>
      <c r="AF17" s="154" t="s">
        <v>83</v>
      </c>
    </row>
    <row r="18" spans="1:32" x14ac:dyDescent="0.3">
      <c r="A18" s="4" t="s">
        <v>54</v>
      </c>
      <c r="B18" s="5">
        <v>0</v>
      </c>
      <c r="C18" s="6" t="s">
        <v>24</v>
      </c>
      <c r="D18" s="7">
        <v>0</v>
      </c>
      <c r="E18" s="5">
        <v>0</v>
      </c>
      <c r="F18" s="6" t="s">
        <v>24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f t="shared" si="2"/>
        <v>875.62843999999973</v>
      </c>
      <c r="P18" s="4" t="s">
        <v>54</v>
      </c>
      <c r="Q18" s="5">
        <v>0</v>
      </c>
      <c r="R18" s="6" t="s">
        <v>24</v>
      </c>
      <c r="S18" s="7">
        <v>0</v>
      </c>
      <c r="T18" s="5">
        <v>0</v>
      </c>
      <c r="U18" s="6" t="s">
        <v>24</v>
      </c>
      <c r="V18" s="7">
        <v>125.664</v>
      </c>
      <c r="W18" s="8">
        <f t="shared" si="1"/>
        <v>125.664</v>
      </c>
      <c r="X18" s="9"/>
      <c r="Y18" s="9"/>
      <c r="Z18" s="9">
        <v>7.1</v>
      </c>
      <c r="AA18" s="9">
        <v>0</v>
      </c>
      <c r="AB18" s="9">
        <v>929</v>
      </c>
      <c r="AC18" s="8">
        <f t="shared" si="3"/>
        <v>936.1</v>
      </c>
      <c r="AD18" s="182">
        <f t="shared" si="4"/>
        <v>875.62843999999973</v>
      </c>
      <c r="AE18" s="186">
        <f t="shared" si="5"/>
        <v>-60.471560000000295</v>
      </c>
      <c r="AF18" s="154" t="s">
        <v>83</v>
      </c>
    </row>
    <row r="19" spans="1:32" x14ac:dyDescent="0.3">
      <c r="A19" s="4" t="s">
        <v>55</v>
      </c>
      <c r="B19" s="5">
        <v>0</v>
      </c>
      <c r="C19" s="6" t="s">
        <v>24</v>
      </c>
      <c r="D19" s="7">
        <v>0</v>
      </c>
      <c r="E19" s="5">
        <v>0</v>
      </c>
      <c r="F19" s="6" t="s">
        <v>24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f t="shared" si="2"/>
        <v>2985.3771749999996</v>
      </c>
      <c r="P19" s="4" t="s">
        <v>55</v>
      </c>
      <c r="Q19" s="5">
        <v>0</v>
      </c>
      <c r="R19" s="6" t="s">
        <v>24</v>
      </c>
      <c r="S19" s="7">
        <v>0</v>
      </c>
      <c r="T19" s="5">
        <v>0</v>
      </c>
      <c r="U19" s="6" t="s">
        <v>24</v>
      </c>
      <c r="V19" s="7">
        <v>342.47500000000002</v>
      </c>
      <c r="W19" s="8">
        <f t="shared" si="1"/>
        <v>342.47500000000002</v>
      </c>
      <c r="X19" s="9"/>
      <c r="Y19" s="9"/>
      <c r="Z19" s="9">
        <v>2474.6000000000004</v>
      </c>
      <c r="AA19" s="9">
        <v>0</v>
      </c>
      <c r="AB19" s="9">
        <v>819.6</v>
      </c>
      <c r="AC19" s="8">
        <f t="shared" si="3"/>
        <v>3294.2000000000003</v>
      </c>
      <c r="AD19" s="182">
        <f t="shared" si="4"/>
        <v>2985.3771749999996</v>
      </c>
      <c r="AE19" s="186">
        <f t="shared" si="5"/>
        <v>-308.82282500000065</v>
      </c>
      <c r="AF19" s="154" t="s">
        <v>83</v>
      </c>
    </row>
    <row r="20" spans="1:32" x14ac:dyDescent="0.3">
      <c r="A20" s="4" t="s">
        <v>87</v>
      </c>
      <c r="B20" s="5">
        <v>746</v>
      </c>
      <c r="C20" s="6" t="s">
        <v>24</v>
      </c>
      <c r="D20" s="7">
        <v>231</v>
      </c>
      <c r="E20" s="5">
        <v>746</v>
      </c>
      <c r="F20" s="6" t="s">
        <v>24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f t="shared" si="2"/>
        <v>4605</v>
      </c>
      <c r="P20" s="4" t="s">
        <v>87</v>
      </c>
      <c r="Q20" s="5">
        <v>746</v>
      </c>
      <c r="R20" s="6" t="s">
        <v>24</v>
      </c>
      <c r="S20" s="7">
        <v>176.19</v>
      </c>
      <c r="T20" s="5">
        <v>746</v>
      </c>
      <c r="U20" s="6" t="s">
        <v>24</v>
      </c>
      <c r="V20" s="7">
        <v>304.54000000000002</v>
      </c>
      <c r="W20" s="8">
        <f t="shared" si="1"/>
        <v>128.35000000009313</v>
      </c>
      <c r="X20" s="9"/>
      <c r="Y20" s="9"/>
      <c r="Z20" s="9">
        <v>8189.41</v>
      </c>
      <c r="AA20" s="9">
        <v>0</v>
      </c>
      <c r="AB20" s="9">
        <v>0</v>
      </c>
      <c r="AC20" s="8">
        <f t="shared" si="3"/>
        <v>8189.41</v>
      </c>
      <c r="AD20" s="182">
        <f t="shared" si="4"/>
        <v>4605</v>
      </c>
      <c r="AE20" s="186">
        <f t="shared" si="5"/>
        <v>-3584.41</v>
      </c>
      <c r="AF20" s="154" t="s">
        <v>88</v>
      </c>
    </row>
    <row r="21" spans="1:32" x14ac:dyDescent="0.3">
      <c r="A21" s="4" t="s">
        <v>87</v>
      </c>
      <c r="B21" s="5">
        <v>746</v>
      </c>
      <c r="C21" s="6" t="s">
        <v>24</v>
      </c>
      <c r="D21" s="7">
        <v>289</v>
      </c>
      <c r="E21" s="5">
        <v>746</v>
      </c>
      <c r="F21" s="6" t="s">
        <v>24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f t="shared" si="2"/>
        <v>2635</v>
      </c>
      <c r="P21" s="4" t="s">
        <v>87</v>
      </c>
      <c r="Q21" s="5">
        <v>746</v>
      </c>
      <c r="R21" s="6" t="s">
        <v>24</v>
      </c>
      <c r="S21" s="7">
        <v>335</v>
      </c>
      <c r="T21" s="5">
        <v>746</v>
      </c>
      <c r="U21" s="6" t="s">
        <v>24</v>
      </c>
      <c r="V21" s="7">
        <v>463.75</v>
      </c>
      <c r="W21" s="8">
        <f t="shared" si="1"/>
        <v>128.75</v>
      </c>
      <c r="X21" s="9"/>
      <c r="Y21" s="9"/>
      <c r="Z21" s="9">
        <v>8454.86</v>
      </c>
      <c r="AA21" s="9">
        <v>0</v>
      </c>
      <c r="AB21" s="9">
        <v>0</v>
      </c>
      <c r="AC21" s="8">
        <f t="shared" si="3"/>
        <v>8454.86</v>
      </c>
      <c r="AD21" s="182">
        <f t="shared" si="4"/>
        <v>2635</v>
      </c>
      <c r="AE21" s="186">
        <f t="shared" si="5"/>
        <v>-5819.8600000000006</v>
      </c>
      <c r="AF21" s="154" t="s">
        <v>88</v>
      </c>
    </row>
    <row r="22" spans="1:32" x14ac:dyDescent="0.3">
      <c r="A22" s="4" t="s">
        <v>87</v>
      </c>
      <c r="B22" s="5">
        <v>746</v>
      </c>
      <c r="C22" s="6" t="s">
        <v>24</v>
      </c>
      <c r="D22" s="7">
        <v>327</v>
      </c>
      <c r="E22" s="5">
        <v>746</v>
      </c>
      <c r="F22" s="6" t="s">
        <v>24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f t="shared" si="2"/>
        <v>2540</v>
      </c>
      <c r="P22" s="4" t="s">
        <v>87</v>
      </c>
      <c r="Q22" s="5">
        <v>746</v>
      </c>
      <c r="R22" s="6" t="s">
        <v>24</v>
      </c>
      <c r="S22" s="7">
        <v>327</v>
      </c>
      <c r="T22" s="5">
        <v>746</v>
      </c>
      <c r="U22" s="6" t="s">
        <v>24</v>
      </c>
      <c r="V22" s="7">
        <v>347</v>
      </c>
      <c r="W22" s="8">
        <f t="shared" si="1"/>
        <v>20</v>
      </c>
      <c r="X22" s="9"/>
      <c r="Y22" s="9"/>
      <c r="Z22" s="9">
        <v>0</v>
      </c>
      <c r="AA22" s="9">
        <v>0</v>
      </c>
      <c r="AB22" s="9">
        <v>0</v>
      </c>
      <c r="AC22" s="8">
        <f t="shared" si="3"/>
        <v>0</v>
      </c>
      <c r="AD22" s="182">
        <f t="shared" si="4"/>
        <v>2540</v>
      </c>
      <c r="AE22" s="186">
        <f t="shared" si="5"/>
        <v>2540</v>
      </c>
      <c r="AF22" s="154" t="s">
        <v>89</v>
      </c>
    </row>
    <row r="23" spans="1:32" ht="15" thickBot="1" x14ac:dyDescent="0.35">
      <c r="A23" s="4" t="s">
        <v>87</v>
      </c>
      <c r="B23" s="5">
        <v>746</v>
      </c>
      <c r="C23" s="6" t="s">
        <v>24</v>
      </c>
      <c r="D23" s="7">
        <v>347</v>
      </c>
      <c r="E23" s="5">
        <v>746</v>
      </c>
      <c r="F23" s="6" t="s">
        <v>24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f t="shared" si="2"/>
        <v>9710</v>
      </c>
      <c r="P23" s="4" t="s">
        <v>87</v>
      </c>
      <c r="Q23" s="5">
        <v>746</v>
      </c>
      <c r="R23" s="6" t="s">
        <v>24</v>
      </c>
      <c r="S23" s="7">
        <v>347</v>
      </c>
      <c r="T23" s="5">
        <v>746</v>
      </c>
      <c r="U23" s="6" t="s">
        <v>24</v>
      </c>
      <c r="V23" s="7">
        <v>421</v>
      </c>
      <c r="W23" s="8">
        <f t="shared" si="1"/>
        <v>74</v>
      </c>
      <c r="X23" s="9"/>
      <c r="Y23" s="9"/>
      <c r="Z23" s="9">
        <v>0</v>
      </c>
      <c r="AA23" s="9">
        <v>0</v>
      </c>
      <c r="AB23" s="9">
        <v>0</v>
      </c>
      <c r="AC23" s="8">
        <f t="shared" si="3"/>
        <v>0</v>
      </c>
      <c r="AD23" s="189">
        <f t="shared" si="4"/>
        <v>9710</v>
      </c>
      <c r="AE23" s="190">
        <f t="shared" si="5"/>
        <v>9710</v>
      </c>
      <c r="AF23" s="154" t="s">
        <v>89</v>
      </c>
    </row>
    <row r="24" spans="1:32" ht="15" thickBot="1" x14ac:dyDescent="0.35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  <c r="P24" s="11" t="str">
        <f>"TOTAL - "&amp;P6</f>
        <v>TOTAL - INTERSEÇÃO - km 746+320</v>
      </c>
      <c r="Q24" s="12"/>
      <c r="R24" s="12"/>
      <c r="S24" s="12"/>
      <c r="T24" s="12"/>
      <c r="U24" s="12"/>
      <c r="V24" s="12"/>
      <c r="W24" s="12"/>
      <c r="X24" s="13">
        <f>SUM(X7:X19)</f>
        <v>0</v>
      </c>
      <c r="Y24" s="13">
        <f>SUM(Y7:Y19)</f>
        <v>0</v>
      </c>
      <c r="Z24" s="13">
        <f>SUM(Z7:Z23)</f>
        <v>71269.27</v>
      </c>
      <c r="AA24" s="13">
        <f>SUM(AA7:AA19)</f>
        <v>0</v>
      </c>
      <c r="AB24" s="13">
        <f>SUM(AB7:AB20)</f>
        <v>5176.9000000000005</v>
      </c>
      <c r="AC24" s="13">
        <f>(Z24+AA24+AB24)</f>
        <v>76446.17</v>
      </c>
      <c r="AD24" s="193">
        <f t="shared" si="4"/>
        <v>85326.117375000031</v>
      </c>
      <c r="AE24" s="194">
        <f>AD24-AC24</f>
        <v>8879.9473750000325</v>
      </c>
      <c r="AF24" s="188"/>
    </row>
    <row r="25" spans="1:32" ht="15" thickBot="1" x14ac:dyDescent="0.35">
      <c r="A25" s="220" t="s">
        <v>90</v>
      </c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2"/>
      <c r="P25" s="220" t="s">
        <v>90</v>
      </c>
      <c r="Q25" s="221"/>
      <c r="R25" s="221"/>
      <c r="S25" s="221"/>
      <c r="T25" s="221"/>
      <c r="U25" s="221"/>
      <c r="V25" s="221"/>
      <c r="W25" s="221"/>
      <c r="X25" s="221"/>
      <c r="Y25" s="221"/>
      <c r="Z25" s="221"/>
      <c r="AA25" s="221"/>
      <c r="AB25" s="221"/>
      <c r="AC25" s="222"/>
      <c r="AD25" s="191">
        <f t="shared" si="4"/>
        <v>0</v>
      </c>
      <c r="AE25" s="192">
        <f t="shared" si="5"/>
        <v>0</v>
      </c>
      <c r="AF25" s="154"/>
    </row>
    <row r="26" spans="1:32" x14ac:dyDescent="0.3">
      <c r="A26" s="4" t="s">
        <v>60</v>
      </c>
      <c r="B26" s="5">
        <v>746</v>
      </c>
      <c r="C26" s="6" t="s">
        <v>24</v>
      </c>
      <c r="D26" s="35">
        <v>635</v>
      </c>
      <c r="E26" s="5">
        <v>746</v>
      </c>
      <c r="F26" s="6" t="s">
        <v>24</v>
      </c>
      <c r="G26" s="7">
        <v>984.98499999998603</v>
      </c>
      <c r="H26" s="8">
        <f t="shared" ref="H26:H37" si="6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f t="shared" ref="N26:N37" si="7">(K26+L26+M26)</f>
        <v>1163.8782349999726</v>
      </c>
      <c r="P26" s="4" t="s">
        <v>60</v>
      </c>
      <c r="Q26" s="5">
        <v>746</v>
      </c>
      <c r="R26" s="6" t="s">
        <v>24</v>
      </c>
      <c r="S26" s="35">
        <v>635</v>
      </c>
      <c r="T26" s="5">
        <v>746</v>
      </c>
      <c r="U26" s="6" t="s">
        <v>24</v>
      </c>
      <c r="V26" s="7">
        <v>984.98499999998603</v>
      </c>
      <c r="W26" s="8">
        <f t="shared" ref="W26:W37" si="8">(T26*1000+V26)-(Q26*1000+S26)</f>
        <v>349.98499999998603</v>
      </c>
      <c r="X26" s="9"/>
      <c r="Y26" s="9"/>
      <c r="Z26" s="9">
        <v>24.5</v>
      </c>
      <c r="AA26" s="9">
        <v>0</v>
      </c>
      <c r="AB26" s="9">
        <v>1187.5999999999999</v>
      </c>
      <c r="AC26" s="8">
        <f t="shared" ref="AC26:AC37" si="9">(Z26+AA26+AB26)</f>
        <v>1212.0999999999999</v>
      </c>
      <c r="AD26" s="187">
        <f t="shared" ref="AD26:AD27" si="10">N26</f>
        <v>1163.8782349999726</v>
      </c>
      <c r="AE26" s="186">
        <f t="shared" si="5"/>
        <v>-48.22176500002729</v>
      </c>
      <c r="AF26" s="154" t="s">
        <v>83</v>
      </c>
    </row>
    <row r="27" spans="1:32" x14ac:dyDescent="0.3">
      <c r="A27" s="4" t="s">
        <v>91</v>
      </c>
      <c r="B27" s="5">
        <v>745</v>
      </c>
      <c r="C27" s="6" t="s">
        <v>24</v>
      </c>
      <c r="D27" s="35">
        <v>500</v>
      </c>
      <c r="E27" s="5">
        <v>746</v>
      </c>
      <c r="F27" s="6" t="s">
        <v>24</v>
      </c>
      <c r="G27" s="7">
        <v>234.91299999994226</v>
      </c>
      <c r="H27" s="8">
        <f t="shared" si="6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f t="shared" si="7"/>
        <v>4445.4770049995432</v>
      </c>
      <c r="P27" s="4" t="s">
        <v>91</v>
      </c>
      <c r="Q27" s="5">
        <v>745</v>
      </c>
      <c r="R27" s="6" t="s">
        <v>24</v>
      </c>
      <c r="S27" s="35">
        <v>500</v>
      </c>
      <c r="T27" s="5">
        <v>746</v>
      </c>
      <c r="U27" s="6" t="s">
        <v>24</v>
      </c>
      <c r="V27" s="7">
        <v>234.91299999994226</v>
      </c>
      <c r="W27" s="8">
        <f t="shared" si="8"/>
        <v>734.91299999994226</v>
      </c>
      <c r="X27" s="9"/>
      <c r="Y27" s="8"/>
      <c r="Z27" s="8">
        <v>270</v>
      </c>
      <c r="AA27" s="8">
        <v>0</v>
      </c>
      <c r="AB27" s="8">
        <v>2741.9</v>
      </c>
      <c r="AC27" s="8">
        <f t="shared" si="9"/>
        <v>3011.9</v>
      </c>
      <c r="AD27" s="187">
        <f t="shared" si="10"/>
        <v>4445.4770049995432</v>
      </c>
      <c r="AE27" s="186">
        <f t="shared" si="5"/>
        <v>1433.5770049995431</v>
      </c>
      <c r="AF27" s="154" t="s">
        <v>82</v>
      </c>
    </row>
    <row r="28" spans="1:32" x14ac:dyDescent="0.3">
      <c r="A28" s="4" t="s">
        <v>92</v>
      </c>
      <c r="B28" s="5">
        <v>746</v>
      </c>
      <c r="C28" s="6" t="s">
        <v>24</v>
      </c>
      <c r="D28" s="35">
        <v>390</v>
      </c>
      <c r="E28" s="5">
        <v>747</v>
      </c>
      <c r="F28" s="6" t="s">
        <v>24</v>
      </c>
      <c r="G28" s="7">
        <v>569.46999999997206</v>
      </c>
      <c r="H28" s="8">
        <f t="shared" si="6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f t="shared" si="7"/>
        <v>7134.047404999943</v>
      </c>
      <c r="P28" s="4" t="s">
        <v>92</v>
      </c>
      <c r="Q28" s="5">
        <v>746</v>
      </c>
      <c r="R28" s="6" t="s">
        <v>24</v>
      </c>
      <c r="S28" s="35">
        <v>390</v>
      </c>
      <c r="T28" s="5">
        <v>747</v>
      </c>
      <c r="U28" s="6" t="s">
        <v>24</v>
      </c>
      <c r="V28" s="7">
        <v>569.46999999997206</v>
      </c>
      <c r="W28" s="8">
        <f t="shared" si="8"/>
        <v>1179.4699999999721</v>
      </c>
      <c r="X28" s="9"/>
      <c r="Y28" s="8"/>
      <c r="Z28" s="8">
        <v>514.70000000000005</v>
      </c>
      <c r="AA28" s="8">
        <v>0</v>
      </c>
      <c r="AB28" s="8">
        <v>6401.6</v>
      </c>
      <c r="AC28" s="8">
        <f t="shared" si="9"/>
        <v>6916.3</v>
      </c>
      <c r="AD28" s="187">
        <f>N28</f>
        <v>7134.047404999943</v>
      </c>
      <c r="AE28" s="186">
        <f>AD28-AC28</f>
        <v>217.74740499994277</v>
      </c>
      <c r="AF28" s="154" t="s">
        <v>83</v>
      </c>
    </row>
    <row r="29" spans="1:32" x14ac:dyDescent="0.3">
      <c r="A29" s="4" t="s">
        <v>93</v>
      </c>
      <c r="B29" s="5">
        <v>0</v>
      </c>
      <c r="C29" s="6" t="s">
        <v>24</v>
      </c>
      <c r="D29" s="35">
        <v>0</v>
      </c>
      <c r="E29" s="5">
        <v>0</v>
      </c>
      <c r="F29" s="6" t="s">
        <v>24</v>
      </c>
      <c r="G29" s="7">
        <v>21.09</v>
      </c>
      <c r="H29" s="8">
        <f t="shared" si="6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f t="shared" si="7"/>
        <v>107.31132500000001</v>
      </c>
      <c r="P29" s="4" t="s">
        <v>93</v>
      </c>
      <c r="Q29" s="5">
        <v>0</v>
      </c>
      <c r="R29" s="6" t="s">
        <v>24</v>
      </c>
      <c r="S29" s="35">
        <v>0</v>
      </c>
      <c r="T29" s="5">
        <v>0</v>
      </c>
      <c r="U29" s="6" t="s">
        <v>24</v>
      </c>
      <c r="V29" s="7">
        <v>21.09</v>
      </c>
      <c r="W29" s="8">
        <f t="shared" si="8"/>
        <v>21.09</v>
      </c>
      <c r="X29" s="9"/>
      <c r="Y29" s="8"/>
      <c r="Z29" s="8">
        <v>9.4431999999999992</v>
      </c>
      <c r="AA29" s="8">
        <v>0</v>
      </c>
      <c r="AB29" s="8">
        <v>97.838125000000005</v>
      </c>
      <c r="AC29" s="8">
        <f t="shared" si="9"/>
        <v>107.28132500000001</v>
      </c>
      <c r="AD29" s="187">
        <f t="shared" ref="AD29:AD38" si="11">N29</f>
        <v>107.31132500000001</v>
      </c>
      <c r="AE29" s="186">
        <f t="shared" ref="AE29:AE37" si="12">AD29-AC29</f>
        <v>3.0000000000001137E-2</v>
      </c>
      <c r="AF29" s="154" t="s">
        <v>83</v>
      </c>
    </row>
    <row r="30" spans="1:32" x14ac:dyDescent="0.3">
      <c r="A30" s="4" t="s">
        <v>94</v>
      </c>
      <c r="B30" s="5">
        <v>0</v>
      </c>
      <c r="C30" s="6" t="s">
        <v>24</v>
      </c>
      <c r="D30" s="35">
        <v>0</v>
      </c>
      <c r="E30" s="5">
        <v>0</v>
      </c>
      <c r="F30" s="6" t="s">
        <v>24</v>
      </c>
      <c r="G30" s="7">
        <v>28.027000000000001</v>
      </c>
      <c r="H30" s="8">
        <f t="shared" si="6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f t="shared" si="7"/>
        <v>136.71009999999998</v>
      </c>
      <c r="P30" s="4" t="s">
        <v>94</v>
      </c>
      <c r="Q30" s="5">
        <v>0</v>
      </c>
      <c r="R30" s="6" t="s">
        <v>24</v>
      </c>
      <c r="S30" s="35">
        <v>0</v>
      </c>
      <c r="T30" s="5">
        <v>0</v>
      </c>
      <c r="U30" s="6" t="s">
        <v>24</v>
      </c>
      <c r="V30" s="7">
        <v>28.027000000000001</v>
      </c>
      <c r="W30" s="8">
        <f t="shared" si="8"/>
        <v>28.027000000000001</v>
      </c>
      <c r="X30" s="9"/>
      <c r="Y30" s="8"/>
      <c r="Z30" s="8">
        <v>0</v>
      </c>
      <c r="AA30" s="8">
        <v>0</v>
      </c>
      <c r="AB30" s="8">
        <v>108</v>
      </c>
      <c r="AC30" s="8">
        <f t="shared" si="9"/>
        <v>108</v>
      </c>
      <c r="AD30" s="187">
        <f t="shared" si="11"/>
        <v>136.71009999999998</v>
      </c>
      <c r="AE30" s="186">
        <f t="shared" si="12"/>
        <v>28.710099999999983</v>
      </c>
      <c r="AF30" s="154" t="s">
        <v>83</v>
      </c>
    </row>
    <row r="31" spans="1:32" x14ac:dyDescent="0.3">
      <c r="A31" s="4" t="s">
        <v>95</v>
      </c>
      <c r="B31" s="5">
        <v>0</v>
      </c>
      <c r="C31" s="6" t="s">
        <v>24</v>
      </c>
      <c r="D31" s="35">
        <v>0</v>
      </c>
      <c r="E31" s="5">
        <v>0</v>
      </c>
      <c r="F31" s="6" t="s">
        <v>24</v>
      </c>
      <c r="G31" s="7">
        <v>30.798999999999999</v>
      </c>
      <c r="H31" s="8">
        <f t="shared" si="6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f t="shared" si="7"/>
        <v>305.00225</v>
      </c>
      <c r="P31" s="4" t="s">
        <v>95</v>
      </c>
      <c r="Q31" s="5">
        <v>0</v>
      </c>
      <c r="R31" s="6" t="s">
        <v>24</v>
      </c>
      <c r="S31" s="35">
        <v>0</v>
      </c>
      <c r="T31" s="5">
        <v>0</v>
      </c>
      <c r="U31" s="6" t="s">
        <v>24</v>
      </c>
      <c r="V31" s="7">
        <v>30.798999999999999</v>
      </c>
      <c r="W31" s="8">
        <f t="shared" si="8"/>
        <v>30.798999999999999</v>
      </c>
      <c r="X31" s="9"/>
      <c r="Y31" s="8"/>
      <c r="Z31" s="8">
        <v>0</v>
      </c>
      <c r="AA31" s="8">
        <v>0</v>
      </c>
      <c r="AB31" s="8">
        <v>164.8</v>
      </c>
      <c r="AC31" s="8">
        <f t="shared" si="9"/>
        <v>164.8</v>
      </c>
      <c r="AD31" s="187">
        <f t="shared" si="11"/>
        <v>305.00225</v>
      </c>
      <c r="AE31" s="186">
        <f t="shared" si="12"/>
        <v>140.20224999999999</v>
      </c>
      <c r="AF31" s="154" t="s">
        <v>83</v>
      </c>
    </row>
    <row r="32" spans="1:32" x14ac:dyDescent="0.3">
      <c r="A32" s="4" t="s">
        <v>96</v>
      </c>
      <c r="B32" s="5">
        <v>0</v>
      </c>
      <c r="C32" s="6" t="s">
        <v>24</v>
      </c>
      <c r="D32" s="35">
        <v>0</v>
      </c>
      <c r="E32" s="5">
        <v>0</v>
      </c>
      <c r="F32" s="6" t="s">
        <v>24</v>
      </c>
      <c r="G32" s="7">
        <v>40.738</v>
      </c>
      <c r="H32" s="8">
        <f t="shared" si="6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f t="shared" si="7"/>
        <v>146.3964</v>
      </c>
      <c r="P32" s="4" t="s">
        <v>96</v>
      </c>
      <c r="Q32" s="5">
        <v>0</v>
      </c>
      <c r="R32" s="6" t="s">
        <v>24</v>
      </c>
      <c r="S32" s="35">
        <v>0</v>
      </c>
      <c r="T32" s="5">
        <v>0</v>
      </c>
      <c r="U32" s="6" t="s">
        <v>24</v>
      </c>
      <c r="V32" s="7">
        <v>40.738</v>
      </c>
      <c r="W32" s="8">
        <f t="shared" si="8"/>
        <v>40.738</v>
      </c>
      <c r="X32" s="9"/>
      <c r="Y32" s="8"/>
      <c r="Z32" s="8">
        <v>2.7</v>
      </c>
      <c r="AA32" s="8">
        <v>0</v>
      </c>
      <c r="AB32" s="8">
        <v>119.2</v>
      </c>
      <c r="AC32" s="8">
        <f t="shared" si="9"/>
        <v>121.9</v>
      </c>
      <c r="AD32" s="187">
        <f t="shared" si="11"/>
        <v>146.3964</v>
      </c>
      <c r="AE32" s="186">
        <f t="shared" si="12"/>
        <v>24.496399999999994</v>
      </c>
      <c r="AF32" s="154" t="s">
        <v>83</v>
      </c>
    </row>
    <row r="33" spans="1:32" x14ac:dyDescent="0.3">
      <c r="A33" s="4" t="s">
        <v>97</v>
      </c>
      <c r="B33" s="5">
        <v>0</v>
      </c>
      <c r="C33" s="6" t="s">
        <v>24</v>
      </c>
      <c r="D33" s="35">
        <v>0</v>
      </c>
      <c r="E33" s="5">
        <v>0</v>
      </c>
      <c r="F33" s="6" t="s">
        <v>24</v>
      </c>
      <c r="G33" s="7">
        <v>29.472000000000001</v>
      </c>
      <c r="H33" s="8">
        <f t="shared" si="6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f t="shared" si="7"/>
        <v>112.21500000000002</v>
      </c>
      <c r="P33" s="4" t="s">
        <v>97</v>
      </c>
      <c r="Q33" s="5">
        <v>0</v>
      </c>
      <c r="R33" s="6" t="s">
        <v>24</v>
      </c>
      <c r="S33" s="35">
        <v>0</v>
      </c>
      <c r="T33" s="5">
        <v>0</v>
      </c>
      <c r="U33" s="6" t="s">
        <v>24</v>
      </c>
      <c r="V33" s="7">
        <v>29.472000000000001</v>
      </c>
      <c r="W33" s="8">
        <f t="shared" si="8"/>
        <v>29.472000000000001</v>
      </c>
      <c r="X33" s="9"/>
      <c r="Y33" s="8"/>
      <c r="Z33" s="8">
        <v>0</v>
      </c>
      <c r="AA33" s="8">
        <v>0</v>
      </c>
      <c r="AB33" s="8">
        <v>125</v>
      </c>
      <c r="AC33" s="8">
        <f t="shared" si="9"/>
        <v>125</v>
      </c>
      <c r="AD33" s="187">
        <f t="shared" si="11"/>
        <v>112.21500000000002</v>
      </c>
      <c r="AE33" s="186">
        <f t="shared" si="12"/>
        <v>-12.784999999999982</v>
      </c>
      <c r="AF33" s="154" t="s">
        <v>83</v>
      </c>
    </row>
    <row r="34" spans="1:32" x14ac:dyDescent="0.3">
      <c r="A34" s="4" t="s">
        <v>68</v>
      </c>
      <c r="B34" s="5">
        <v>746</v>
      </c>
      <c r="C34" s="6" t="s">
        <v>24</v>
      </c>
      <c r="D34" s="35">
        <v>610</v>
      </c>
      <c r="E34" s="5">
        <v>746</v>
      </c>
      <c r="F34" s="6" t="s">
        <v>24</v>
      </c>
      <c r="G34" s="7">
        <v>853.1600000000326</v>
      </c>
      <c r="H34" s="8">
        <f t="shared" si="6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f t="shared" si="7"/>
        <v>1249.355350000068</v>
      </c>
      <c r="P34" s="4" t="s">
        <v>68</v>
      </c>
      <c r="Q34" s="5">
        <v>746</v>
      </c>
      <c r="R34" s="6" t="s">
        <v>24</v>
      </c>
      <c r="S34" s="35">
        <v>610</v>
      </c>
      <c r="T34" s="5">
        <v>746</v>
      </c>
      <c r="U34" s="6" t="s">
        <v>24</v>
      </c>
      <c r="V34" s="7">
        <v>853.1600000000326</v>
      </c>
      <c r="W34" s="8">
        <f t="shared" si="8"/>
        <v>243.1600000000326</v>
      </c>
      <c r="X34" s="9"/>
      <c r="Y34" s="8"/>
      <c r="Z34" s="8">
        <v>327.8</v>
      </c>
      <c r="AA34" s="8">
        <v>0</v>
      </c>
      <c r="AB34" s="8">
        <v>571.1</v>
      </c>
      <c r="AC34" s="8">
        <f t="shared" si="9"/>
        <v>898.90000000000009</v>
      </c>
      <c r="AD34" s="187">
        <f t="shared" si="11"/>
        <v>1249.355350000068</v>
      </c>
      <c r="AE34" s="186">
        <f t="shared" si="12"/>
        <v>350.45535000006794</v>
      </c>
      <c r="AF34" s="154" t="s">
        <v>83</v>
      </c>
    </row>
    <row r="35" spans="1:32" x14ac:dyDescent="0.3">
      <c r="A35" s="4" t="s">
        <v>69</v>
      </c>
      <c r="B35" s="5">
        <v>746</v>
      </c>
      <c r="C35" s="6" t="s">
        <v>24</v>
      </c>
      <c r="D35" s="35">
        <v>520</v>
      </c>
      <c r="E35" s="5">
        <v>747</v>
      </c>
      <c r="F35" s="6" t="s">
        <v>24</v>
      </c>
      <c r="G35" s="7">
        <v>791.76599999994505</v>
      </c>
      <c r="H35" s="8">
        <f t="shared" si="6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f t="shared" si="7"/>
        <v>8766.0547900000092</v>
      </c>
      <c r="P35" s="4" t="s">
        <v>69</v>
      </c>
      <c r="Q35" s="5">
        <v>746</v>
      </c>
      <c r="R35" s="6" t="s">
        <v>24</v>
      </c>
      <c r="S35" s="35">
        <v>520</v>
      </c>
      <c r="T35" s="5">
        <v>747</v>
      </c>
      <c r="U35" s="6" t="s">
        <v>24</v>
      </c>
      <c r="V35" s="7">
        <v>791.76599999994505</v>
      </c>
      <c r="W35" s="8">
        <f t="shared" si="8"/>
        <v>1271.7659999999451</v>
      </c>
      <c r="X35" s="9"/>
      <c r="Y35" s="8"/>
      <c r="Z35" s="8">
        <v>1323.5</v>
      </c>
      <c r="AA35" s="8">
        <v>0</v>
      </c>
      <c r="AB35" s="8">
        <v>6259.4</v>
      </c>
      <c r="AC35" s="8">
        <f t="shared" si="9"/>
        <v>7582.9</v>
      </c>
      <c r="AD35" s="187">
        <f t="shared" si="11"/>
        <v>8766.0547900000092</v>
      </c>
      <c r="AE35" s="186">
        <f t="shared" si="12"/>
        <v>1183.1547900000096</v>
      </c>
      <c r="AF35" s="154" t="s">
        <v>83</v>
      </c>
    </row>
    <row r="36" spans="1:32" x14ac:dyDescent="0.3">
      <c r="A36" s="4" t="s">
        <v>98</v>
      </c>
      <c r="B36" s="5">
        <v>0</v>
      </c>
      <c r="C36" s="6" t="s">
        <v>24</v>
      </c>
      <c r="D36" s="35">
        <v>0</v>
      </c>
      <c r="E36" s="5">
        <v>0</v>
      </c>
      <c r="F36" s="6" t="s">
        <v>24</v>
      </c>
      <c r="G36" s="7">
        <v>40.015000000000001</v>
      </c>
      <c r="H36" s="8">
        <f t="shared" si="6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f t="shared" si="7"/>
        <v>150.54912999999999</v>
      </c>
      <c r="P36" s="4" t="s">
        <v>98</v>
      </c>
      <c r="Q36" s="5">
        <v>0</v>
      </c>
      <c r="R36" s="6" t="s">
        <v>24</v>
      </c>
      <c r="S36" s="35">
        <v>0</v>
      </c>
      <c r="T36" s="5">
        <v>0</v>
      </c>
      <c r="U36" s="6" t="s">
        <v>24</v>
      </c>
      <c r="V36" s="7">
        <v>40.015000000000001</v>
      </c>
      <c r="W36" s="8">
        <f t="shared" si="8"/>
        <v>40.015000000000001</v>
      </c>
      <c r="X36" s="9"/>
      <c r="Y36" s="8"/>
      <c r="Z36" s="8">
        <v>0.1</v>
      </c>
      <c r="AA36" s="8">
        <v>0</v>
      </c>
      <c r="AB36" s="8">
        <v>146.30000000000001</v>
      </c>
      <c r="AC36" s="8">
        <f t="shared" si="9"/>
        <v>146.4</v>
      </c>
      <c r="AD36" s="187">
        <f t="shared" si="11"/>
        <v>150.54912999999999</v>
      </c>
      <c r="AE36" s="186">
        <f t="shared" si="12"/>
        <v>4.1491299999999853</v>
      </c>
      <c r="AF36" s="154" t="s">
        <v>83</v>
      </c>
    </row>
    <row r="37" spans="1:32" ht="15" thickBot="1" x14ac:dyDescent="0.35">
      <c r="A37" s="4" t="s">
        <v>99</v>
      </c>
      <c r="B37" s="5">
        <v>0</v>
      </c>
      <c r="C37" s="6" t="s">
        <v>24</v>
      </c>
      <c r="D37" s="35">
        <v>0</v>
      </c>
      <c r="E37" s="5">
        <v>0</v>
      </c>
      <c r="F37" s="6" t="s">
        <v>24</v>
      </c>
      <c r="G37" s="7">
        <v>40.609000000000002</v>
      </c>
      <c r="H37" s="8">
        <f t="shared" si="6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f t="shared" si="7"/>
        <v>143.79585500000002</v>
      </c>
      <c r="P37" s="4" t="s">
        <v>99</v>
      </c>
      <c r="Q37" s="5">
        <v>0</v>
      </c>
      <c r="R37" s="6" t="s">
        <v>24</v>
      </c>
      <c r="S37" s="35">
        <v>0</v>
      </c>
      <c r="T37" s="5">
        <v>0</v>
      </c>
      <c r="U37" s="6" t="s">
        <v>24</v>
      </c>
      <c r="V37" s="7">
        <v>40.609000000000002</v>
      </c>
      <c r="W37" s="8">
        <f t="shared" si="8"/>
        <v>40.609000000000002</v>
      </c>
      <c r="X37" s="9"/>
      <c r="Y37" s="8"/>
      <c r="Z37" s="8">
        <v>0</v>
      </c>
      <c r="AA37" s="8">
        <v>0</v>
      </c>
      <c r="AB37" s="8">
        <v>139.9</v>
      </c>
      <c r="AC37" s="8">
        <f t="shared" si="9"/>
        <v>139.9</v>
      </c>
      <c r="AD37" s="195">
        <f t="shared" si="11"/>
        <v>143.79585500000002</v>
      </c>
      <c r="AE37" s="190">
        <f t="shared" si="12"/>
        <v>3.8958550000000116</v>
      </c>
      <c r="AF37" s="154" t="s">
        <v>83</v>
      </c>
    </row>
    <row r="38" spans="1:32" ht="15" thickBot="1" x14ac:dyDescent="0.35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13">SUM(I26:I37)</f>
        <v>0</v>
      </c>
      <c r="J38" s="13">
        <f t="shared" si="13"/>
        <v>0</v>
      </c>
      <c r="K38" s="13">
        <f t="shared" si="13"/>
        <v>7059.9483449999398</v>
      </c>
      <c r="L38" s="13">
        <f t="shared" si="13"/>
        <v>1343.0050949999934</v>
      </c>
      <c r="M38" s="13">
        <f t="shared" si="13"/>
        <v>15457.839404999602</v>
      </c>
      <c r="N38" s="13">
        <f t="shared" si="13"/>
        <v>23860.792844999538</v>
      </c>
      <c r="P38" s="11" t="str">
        <f>"TOTAL - "&amp;P25</f>
        <v>TOTAL - TRAVESSIA URBANA - SORRISO</v>
      </c>
      <c r="Q38" s="12"/>
      <c r="R38" s="12"/>
      <c r="S38" s="12"/>
      <c r="T38" s="12"/>
      <c r="U38" s="12"/>
      <c r="V38" s="12"/>
      <c r="W38" s="12"/>
      <c r="X38" s="13">
        <f t="shared" ref="X38:AB38" si="14">SUM(X26:X37)</f>
        <v>0</v>
      </c>
      <c r="Y38" s="13">
        <f t="shared" si="14"/>
        <v>0</v>
      </c>
      <c r="Z38" s="13">
        <f t="shared" si="14"/>
        <v>2472.7432000000003</v>
      </c>
      <c r="AA38" s="13">
        <f t="shared" si="14"/>
        <v>0</v>
      </c>
      <c r="AB38" s="13">
        <f t="shared" si="14"/>
        <v>18062.638125000001</v>
      </c>
      <c r="AC38" s="13">
        <f>SUM(AC26:AC37)</f>
        <v>20535.381325000002</v>
      </c>
      <c r="AD38" s="193">
        <f t="shared" si="11"/>
        <v>23860.792844999538</v>
      </c>
      <c r="AE38" s="194">
        <f>AD38-AC38</f>
        <v>3325.4115199995358</v>
      </c>
      <c r="AF38" s="188"/>
    </row>
    <row r="39" spans="1:32" ht="15" thickBot="1" x14ac:dyDescent="0.35">
      <c r="A39" s="220" t="s">
        <v>37</v>
      </c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2"/>
      <c r="P39" s="272" t="s">
        <v>37</v>
      </c>
      <c r="Q39" s="273"/>
      <c r="R39" s="273"/>
      <c r="S39" s="273"/>
      <c r="T39" s="273"/>
      <c r="U39" s="273"/>
      <c r="V39" s="273"/>
      <c r="W39" s="273"/>
      <c r="X39" s="273"/>
      <c r="Y39" s="273"/>
      <c r="Z39" s="273"/>
      <c r="AA39" s="273"/>
      <c r="AB39" s="273"/>
      <c r="AC39" s="274"/>
    </row>
    <row r="40" spans="1:32" x14ac:dyDescent="0.3">
      <c r="A40" s="4" t="s">
        <v>100</v>
      </c>
      <c r="B40" s="5">
        <v>755</v>
      </c>
      <c r="C40" s="6" t="s">
        <v>24</v>
      </c>
      <c r="D40" s="36">
        <v>45.912999999942258</v>
      </c>
      <c r="E40" s="5">
        <v>755</v>
      </c>
      <c r="F40" s="6" t="s">
        <v>24</v>
      </c>
      <c r="G40" s="36">
        <v>585.55500000005122</v>
      </c>
      <c r="H40" s="8">
        <f t="shared" ref="H40:H45" si="15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f t="shared" ref="N40:N45" si="16">(K40+L40+M40)</f>
        <v>167.50422200001313</v>
      </c>
      <c r="P40" s="4" t="s">
        <v>100</v>
      </c>
      <c r="Q40" s="5">
        <v>755</v>
      </c>
      <c r="R40" s="6" t="s">
        <v>24</v>
      </c>
      <c r="S40" s="36">
        <v>45.912999999942258</v>
      </c>
      <c r="T40" s="5">
        <v>755</v>
      </c>
      <c r="U40" s="6" t="s">
        <v>24</v>
      </c>
      <c r="V40" s="36">
        <v>585.55500000005122</v>
      </c>
      <c r="W40" s="8">
        <f t="shared" ref="W40:W45" si="17">(T40*1000+V40)-(Q40*1000+S40)</f>
        <v>539.64200000010896</v>
      </c>
      <c r="X40" s="9"/>
      <c r="Y40" s="9"/>
      <c r="Z40" s="9"/>
      <c r="AA40" s="185">
        <v>167.50422200001313</v>
      </c>
      <c r="AB40" s="9"/>
      <c r="AC40" s="10">
        <f t="shared" ref="AC40:AC45" si="18">(Z40+AA40+AB40)</f>
        <v>167.50422200001313</v>
      </c>
    </row>
    <row r="41" spans="1:32" x14ac:dyDescent="0.3">
      <c r="A41" s="4" t="s">
        <v>100</v>
      </c>
      <c r="B41" s="5">
        <v>755</v>
      </c>
      <c r="C41" s="6" t="s">
        <v>24</v>
      </c>
      <c r="D41" s="36">
        <v>250</v>
      </c>
      <c r="E41" s="5">
        <v>755</v>
      </c>
      <c r="F41" s="6" t="s">
        <v>24</v>
      </c>
      <c r="G41" s="36">
        <v>250</v>
      </c>
      <c r="H41" s="8">
        <f t="shared" si="15"/>
        <v>0</v>
      </c>
      <c r="I41" s="9"/>
      <c r="J41" s="8"/>
      <c r="K41" s="8"/>
      <c r="L41" s="37">
        <v>48.184557999999996</v>
      </c>
      <c r="M41" s="8"/>
      <c r="N41" s="10">
        <f t="shared" si="16"/>
        <v>48.184557999999996</v>
      </c>
      <c r="P41" s="4" t="s">
        <v>100</v>
      </c>
      <c r="Q41" s="5">
        <v>755</v>
      </c>
      <c r="R41" s="6" t="s">
        <v>24</v>
      </c>
      <c r="S41" s="36">
        <v>250</v>
      </c>
      <c r="T41" s="5">
        <v>755</v>
      </c>
      <c r="U41" s="6" t="s">
        <v>24</v>
      </c>
      <c r="V41" s="36">
        <v>250</v>
      </c>
      <c r="W41" s="8">
        <f t="shared" si="17"/>
        <v>0</v>
      </c>
      <c r="X41" s="9"/>
      <c r="Y41" s="8"/>
      <c r="Z41" s="8"/>
      <c r="AA41" s="185">
        <v>48.184557999999996</v>
      </c>
      <c r="AB41" s="8"/>
      <c r="AC41" s="10">
        <f t="shared" si="18"/>
        <v>48.184557999999996</v>
      </c>
    </row>
    <row r="42" spans="1:32" x14ac:dyDescent="0.3">
      <c r="A42" s="4" t="s">
        <v>100</v>
      </c>
      <c r="B42" s="5">
        <v>755</v>
      </c>
      <c r="C42" s="6" t="s">
        <v>24</v>
      </c>
      <c r="D42" s="36">
        <v>250</v>
      </c>
      <c r="E42" s="5">
        <v>755</v>
      </c>
      <c r="F42" s="6" t="s">
        <v>24</v>
      </c>
      <c r="G42" s="36">
        <v>250</v>
      </c>
      <c r="H42" s="8">
        <f t="shared" si="15"/>
        <v>0</v>
      </c>
      <c r="I42" s="9"/>
      <c r="J42" s="8"/>
      <c r="K42" s="8"/>
      <c r="L42" s="37">
        <v>53.197348000000012</v>
      </c>
      <c r="M42" s="8"/>
      <c r="N42" s="10">
        <f t="shared" si="16"/>
        <v>53.197348000000012</v>
      </c>
      <c r="P42" s="4" t="s">
        <v>100</v>
      </c>
      <c r="Q42" s="5">
        <v>755</v>
      </c>
      <c r="R42" s="6" t="s">
        <v>24</v>
      </c>
      <c r="S42" s="36">
        <v>250</v>
      </c>
      <c r="T42" s="5">
        <v>755</v>
      </c>
      <c r="U42" s="6" t="s">
        <v>24</v>
      </c>
      <c r="V42" s="36">
        <v>250</v>
      </c>
      <c r="W42" s="8">
        <f t="shared" si="17"/>
        <v>0</v>
      </c>
      <c r="X42" s="9"/>
      <c r="Y42" s="8"/>
      <c r="Z42" s="8"/>
      <c r="AA42" s="185">
        <v>53.197348000000012</v>
      </c>
      <c r="AB42" s="8"/>
      <c r="AC42" s="10">
        <f t="shared" si="18"/>
        <v>53.197348000000012</v>
      </c>
    </row>
    <row r="43" spans="1:32" x14ac:dyDescent="0.3">
      <c r="A43" s="4" t="s">
        <v>100</v>
      </c>
      <c r="B43" s="5">
        <v>755</v>
      </c>
      <c r="C43" s="6" t="s">
        <v>24</v>
      </c>
      <c r="D43" s="36">
        <v>45.912999999942258</v>
      </c>
      <c r="E43" s="5">
        <v>755</v>
      </c>
      <c r="F43" s="6" t="s">
        <v>24</v>
      </c>
      <c r="G43" s="36">
        <v>585.55500000005122</v>
      </c>
      <c r="H43" s="8">
        <f t="shared" si="15"/>
        <v>539.64200000010896</v>
      </c>
      <c r="I43" s="9"/>
      <c r="J43" s="8"/>
      <c r="K43" s="8"/>
      <c r="L43" s="37">
        <v>670.01688800005275</v>
      </c>
      <c r="M43" s="8"/>
      <c r="N43" s="10">
        <f t="shared" si="16"/>
        <v>670.01688800005275</v>
      </c>
      <c r="P43" s="4" t="s">
        <v>100</v>
      </c>
      <c r="Q43" s="5">
        <v>755</v>
      </c>
      <c r="R43" s="6" t="s">
        <v>24</v>
      </c>
      <c r="S43" s="36">
        <v>45.912999999942258</v>
      </c>
      <c r="T43" s="5">
        <v>755</v>
      </c>
      <c r="U43" s="6" t="s">
        <v>24</v>
      </c>
      <c r="V43" s="36">
        <v>585.55500000005122</v>
      </c>
      <c r="W43" s="8">
        <f t="shared" si="17"/>
        <v>539.64200000010896</v>
      </c>
      <c r="X43" s="9"/>
      <c r="Y43" s="8"/>
      <c r="Z43" s="8"/>
      <c r="AA43" s="185">
        <v>670.01688800005275</v>
      </c>
      <c r="AB43" s="8"/>
      <c r="AC43" s="10">
        <f t="shared" si="18"/>
        <v>670.01688800005275</v>
      </c>
    </row>
    <row r="44" spans="1:32" x14ac:dyDescent="0.3">
      <c r="A44" s="4" t="s">
        <v>100</v>
      </c>
      <c r="B44" s="5">
        <v>755</v>
      </c>
      <c r="C44" s="6" t="s">
        <v>24</v>
      </c>
      <c r="D44" s="36">
        <v>250</v>
      </c>
      <c r="E44" s="5">
        <v>755</v>
      </c>
      <c r="F44" s="6" t="s">
        <v>24</v>
      </c>
      <c r="G44" s="36">
        <v>250</v>
      </c>
      <c r="H44" s="8">
        <f t="shared" si="15"/>
        <v>0</v>
      </c>
      <c r="I44" s="9"/>
      <c r="J44" s="8"/>
      <c r="K44" s="8"/>
      <c r="L44" s="37">
        <v>192.73823199999998</v>
      </c>
      <c r="M44" s="8"/>
      <c r="N44" s="10">
        <f t="shared" si="16"/>
        <v>192.73823199999998</v>
      </c>
      <c r="P44" s="4" t="s">
        <v>100</v>
      </c>
      <c r="Q44" s="5">
        <v>755</v>
      </c>
      <c r="R44" s="6" t="s">
        <v>24</v>
      </c>
      <c r="S44" s="36">
        <v>250</v>
      </c>
      <c r="T44" s="5">
        <v>755</v>
      </c>
      <c r="U44" s="6" t="s">
        <v>24</v>
      </c>
      <c r="V44" s="36">
        <v>250</v>
      </c>
      <c r="W44" s="8">
        <f t="shared" si="17"/>
        <v>0</v>
      </c>
      <c r="X44" s="9"/>
      <c r="Y44" s="8"/>
      <c r="Z44" s="8"/>
      <c r="AA44" s="185">
        <v>192.73823199999998</v>
      </c>
      <c r="AB44" s="8"/>
      <c r="AC44" s="10">
        <f t="shared" si="18"/>
        <v>192.73823199999998</v>
      </c>
    </row>
    <row r="45" spans="1:32" x14ac:dyDescent="0.3">
      <c r="A45" s="4" t="s">
        <v>100</v>
      </c>
      <c r="B45" s="5">
        <v>755</v>
      </c>
      <c r="C45" s="6" t="s">
        <v>24</v>
      </c>
      <c r="D45" s="36">
        <v>250</v>
      </c>
      <c r="E45" s="5">
        <v>755</v>
      </c>
      <c r="F45" s="6" t="s">
        <v>24</v>
      </c>
      <c r="G45" s="36">
        <v>250</v>
      </c>
      <c r="H45" s="8">
        <f t="shared" si="15"/>
        <v>0</v>
      </c>
      <c r="I45" s="9"/>
      <c r="J45" s="8"/>
      <c r="K45" s="8"/>
      <c r="L45" s="37">
        <v>212.78939199999999</v>
      </c>
      <c r="M45" s="8"/>
      <c r="N45" s="10">
        <f t="shared" si="16"/>
        <v>212.78939199999999</v>
      </c>
      <c r="P45" s="4" t="s">
        <v>100</v>
      </c>
      <c r="Q45" s="5">
        <v>755</v>
      </c>
      <c r="R45" s="6" t="s">
        <v>24</v>
      </c>
      <c r="S45" s="36">
        <v>250</v>
      </c>
      <c r="T45" s="5">
        <v>755</v>
      </c>
      <c r="U45" s="6" t="s">
        <v>24</v>
      </c>
      <c r="V45" s="36">
        <v>250</v>
      </c>
      <c r="W45" s="8">
        <f t="shared" si="17"/>
        <v>0</v>
      </c>
      <c r="X45" s="9"/>
      <c r="Y45" s="8"/>
      <c r="Z45" s="8"/>
      <c r="AA45" s="185">
        <v>212.78939199999999</v>
      </c>
      <c r="AB45" s="8"/>
      <c r="AC45" s="10">
        <f t="shared" si="18"/>
        <v>212.78939199999999</v>
      </c>
    </row>
    <row r="46" spans="1:32" ht="15" thickBot="1" x14ac:dyDescent="0.35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19">SUM(I42:I45)</f>
        <v>0</v>
      </c>
      <c r="J46" s="34">
        <f t="shared" si="19"/>
        <v>0</v>
      </c>
      <c r="K46" s="34">
        <f t="shared" si="19"/>
        <v>0</v>
      </c>
      <c r="L46" s="34">
        <f>SUM(L40:L45)</f>
        <v>1344.4306400000658</v>
      </c>
      <c r="M46" s="34">
        <f t="shared" si="19"/>
        <v>0</v>
      </c>
      <c r="N46" s="34">
        <f>SUM(N40:N45)</f>
        <v>1344.4306400000658</v>
      </c>
      <c r="P46" s="31" t="str">
        <f>"TOTAL- ACESSOS"</f>
        <v>TOTAL- ACESSOS</v>
      </c>
      <c r="Q46" s="32"/>
      <c r="R46" s="32"/>
      <c r="S46" s="32"/>
      <c r="T46" s="32"/>
      <c r="U46" s="32"/>
      <c r="V46" s="32"/>
      <c r="W46" s="33"/>
      <c r="X46" s="34">
        <f t="shared" ref="X46:Z46" si="20">SUM(X42:X45)</f>
        <v>0</v>
      </c>
      <c r="Y46" s="34">
        <f t="shared" si="20"/>
        <v>0</v>
      </c>
      <c r="Z46" s="34">
        <f t="shared" si="20"/>
        <v>0</v>
      </c>
      <c r="AA46" s="34">
        <f>SUM(AA40:AA45)</f>
        <v>1344.4306400000658</v>
      </c>
      <c r="AB46" s="34">
        <f t="shared" ref="AB46" si="21">SUM(AB42:AB45)</f>
        <v>0</v>
      </c>
      <c r="AC46" s="34">
        <f>SUM(AC40:AC45)</f>
        <v>1344.4306400000658</v>
      </c>
    </row>
    <row r="47" spans="1:32" ht="15" thickBot="1" x14ac:dyDescent="0.35">
      <c r="A47" s="11" t="s">
        <v>101</v>
      </c>
      <c r="B47" s="12"/>
      <c r="C47" s="12"/>
      <c r="D47" s="12"/>
      <c r="E47" s="12"/>
      <c r="F47" s="12"/>
      <c r="G47" s="12"/>
      <c r="H47" s="12"/>
      <c r="I47" s="14">
        <f t="shared" ref="I47:M47" si="22">I24+I38</f>
        <v>0</v>
      </c>
      <c r="J47" s="14">
        <f t="shared" si="22"/>
        <v>0</v>
      </c>
      <c r="K47" s="14">
        <f t="shared" si="22"/>
        <v>79246.295754999985</v>
      </c>
      <c r="L47" s="14">
        <f t="shared" si="22"/>
        <v>8911.8227599999991</v>
      </c>
      <c r="M47" s="14">
        <f t="shared" si="22"/>
        <v>21028.791704999574</v>
      </c>
      <c r="N47" s="14">
        <f>N24+N38</f>
        <v>109186.91021999957</v>
      </c>
      <c r="P47" s="11" t="s">
        <v>101</v>
      </c>
      <c r="Q47" s="12"/>
      <c r="R47" s="12"/>
      <c r="S47" s="12"/>
      <c r="T47" s="12"/>
      <c r="U47" s="12"/>
      <c r="V47" s="12"/>
      <c r="W47" s="12"/>
      <c r="X47" s="13">
        <f t="shared" ref="X47:AB47" si="23">X24+X38</f>
        <v>0</v>
      </c>
      <c r="Y47" s="13">
        <f t="shared" si="23"/>
        <v>0</v>
      </c>
      <c r="Z47" s="13">
        <f t="shared" si="23"/>
        <v>73742.013200000001</v>
      </c>
      <c r="AA47" s="13">
        <f t="shared" si="23"/>
        <v>0</v>
      </c>
      <c r="AB47" s="13">
        <f t="shared" si="23"/>
        <v>23239.538125000003</v>
      </c>
      <c r="AC47" s="13">
        <f>AC24+AC38</f>
        <v>96981.551325000008</v>
      </c>
    </row>
    <row r="49" spans="13:13" x14ac:dyDescent="0.3">
      <c r="M49">
        <f>245+66+24+85+24</f>
        <v>444</v>
      </c>
    </row>
  </sheetData>
  <autoFilter ref="P1:AE47" xr:uid="{7D3006A6-1EF0-4C86-B725-10A349B93F3B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26"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  <mergeCell ref="P6:AC6"/>
    <mergeCell ref="P25:AC25"/>
    <mergeCell ref="P39:AC39"/>
    <mergeCell ref="P1:AC1"/>
    <mergeCell ref="Q2:AC2"/>
    <mergeCell ref="P3:P5"/>
    <mergeCell ref="Q3:V4"/>
    <mergeCell ref="W3:W5"/>
    <mergeCell ref="X3:AC3"/>
    <mergeCell ref="X4:Y4"/>
    <mergeCell ref="Z4:AC4"/>
    <mergeCell ref="Q5:S5"/>
    <mergeCell ref="T5:V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32"/>
  <sheetViews>
    <sheetView topLeftCell="A3" workbookViewId="0">
      <selection activeCell="O8" sqref="O8"/>
    </sheetView>
  </sheetViews>
  <sheetFormatPr defaultRowHeight="14.4" x14ac:dyDescent="0.3"/>
  <cols>
    <col min="1" max="1" width="32.88671875" customWidth="1"/>
    <col min="3" max="3" width="2.44140625" customWidth="1"/>
    <col min="5" max="5" width="6.5546875" customWidth="1"/>
    <col min="6" max="6" width="3.33203125" customWidth="1"/>
    <col min="8" max="8" width="15.44140625" customWidth="1"/>
    <col min="9" max="9" width="19.5546875" customWidth="1"/>
    <col min="11" max="11" width="35.33203125" customWidth="1"/>
    <col min="12" max="12" width="20.5546875" bestFit="1" customWidth="1"/>
    <col min="13" max="13" width="12.5546875" bestFit="1" customWidth="1"/>
    <col min="14" max="14" width="14.5546875" bestFit="1" customWidth="1"/>
    <col min="15" max="15" width="15.6640625" bestFit="1" customWidth="1"/>
    <col min="16" max="16" width="1.6640625" customWidth="1"/>
    <col min="17" max="17" width="34.88671875" bestFit="1" customWidth="1"/>
    <col min="18" max="18" width="14.33203125" bestFit="1" customWidth="1"/>
    <col min="19" max="19" width="8.33203125" bestFit="1" customWidth="1"/>
    <col min="20" max="20" width="13.88671875" bestFit="1" customWidth="1"/>
    <col min="21" max="21" width="6.5546875" bestFit="1" customWidth="1"/>
    <col min="22" max="22" width="7.33203125" bestFit="1" customWidth="1"/>
    <col min="23" max="23" width="6.5546875" bestFit="1" customWidth="1"/>
  </cols>
  <sheetData>
    <row r="1" spans="1:15" x14ac:dyDescent="0.3">
      <c r="A1" s="209" t="s">
        <v>4</v>
      </c>
      <c r="B1" s="211" t="s">
        <v>5</v>
      </c>
      <c r="C1" s="211"/>
      <c r="D1" s="211"/>
      <c r="E1" s="211"/>
      <c r="F1" s="211"/>
      <c r="G1" s="211"/>
      <c r="H1" s="213" t="s">
        <v>6</v>
      </c>
      <c r="I1" s="207" t="s">
        <v>102</v>
      </c>
    </row>
    <row r="2" spans="1:15" x14ac:dyDescent="0.3">
      <c r="A2" s="210"/>
      <c r="B2" s="212"/>
      <c r="C2" s="212"/>
      <c r="D2" s="212"/>
      <c r="E2" s="212"/>
      <c r="F2" s="212"/>
      <c r="G2" s="212"/>
      <c r="H2" s="214"/>
      <c r="I2" s="208"/>
    </row>
    <row r="3" spans="1:15" ht="27.6" x14ac:dyDescent="0.3">
      <c r="A3" s="210"/>
      <c r="B3" s="212" t="s">
        <v>13</v>
      </c>
      <c r="C3" s="212"/>
      <c r="D3" s="212"/>
      <c r="E3" s="212" t="s">
        <v>14</v>
      </c>
      <c r="F3" s="212"/>
      <c r="G3" s="212"/>
      <c r="H3" s="214"/>
      <c r="I3" s="115" t="s">
        <v>12</v>
      </c>
      <c r="L3" s="203" t="s">
        <v>103</v>
      </c>
      <c r="M3" s="203"/>
      <c r="N3" s="203"/>
      <c r="O3" s="203"/>
    </row>
    <row r="4" spans="1:15" x14ac:dyDescent="0.3">
      <c r="A4" s="204" t="s">
        <v>22</v>
      </c>
      <c r="B4" s="205"/>
      <c r="C4" s="205"/>
      <c r="D4" s="205"/>
      <c r="E4" s="205"/>
      <c r="F4" s="205"/>
      <c r="G4" s="205"/>
      <c r="H4" s="205"/>
      <c r="I4" s="206"/>
      <c r="L4" s="154" t="s">
        <v>104</v>
      </c>
      <c r="M4" s="154" t="s">
        <v>105</v>
      </c>
      <c r="N4" s="154" t="s">
        <v>106</v>
      </c>
      <c r="O4" s="154" t="s">
        <v>107</v>
      </c>
    </row>
    <row r="5" spans="1:15" x14ac:dyDescent="0.3">
      <c r="A5" s="119" t="s">
        <v>23</v>
      </c>
      <c r="B5" s="106">
        <v>701</v>
      </c>
      <c r="C5" s="106" t="s">
        <v>24</v>
      </c>
      <c r="D5" s="107">
        <v>0</v>
      </c>
      <c r="E5" s="106">
        <v>713</v>
      </c>
      <c r="F5" s="106" t="s">
        <v>24</v>
      </c>
      <c r="G5" s="107">
        <v>500</v>
      </c>
      <c r="H5" s="108">
        <f t="shared" ref="H5:H7" si="0">(E5*1000+G5)-(B5*1000+D5)</f>
        <v>12500</v>
      </c>
      <c r="I5" s="116">
        <f>'SEGMENTO-01'!S29</f>
        <v>24085.1</v>
      </c>
      <c r="L5" s="154" t="s">
        <v>108</v>
      </c>
      <c r="M5" s="201">
        <f>'SEGMENTO-01'!M29</f>
        <v>114134.81021557681</v>
      </c>
      <c r="N5" s="201">
        <f>M5-O5</f>
        <v>90049.710215576808</v>
      </c>
      <c r="O5" s="201">
        <f>'SEGMENTO-01'!S29</f>
        <v>24085.1</v>
      </c>
    </row>
    <row r="6" spans="1:15" x14ac:dyDescent="0.3">
      <c r="A6" s="120" t="s">
        <v>23</v>
      </c>
      <c r="B6" s="109">
        <v>732</v>
      </c>
      <c r="C6" s="109" t="s">
        <v>24</v>
      </c>
      <c r="D6" s="110">
        <v>0</v>
      </c>
      <c r="E6" s="109">
        <v>736</v>
      </c>
      <c r="F6" s="109" t="s">
        <v>24</v>
      </c>
      <c r="G6" s="110">
        <v>0</v>
      </c>
      <c r="H6" s="111">
        <f t="shared" si="0"/>
        <v>4000</v>
      </c>
      <c r="I6" s="117">
        <f>'SEGMENTO-02'!S15</f>
        <v>26568</v>
      </c>
      <c r="L6" s="154" t="s">
        <v>109</v>
      </c>
      <c r="M6" s="201">
        <f>'SEGMENTO-02'!M15</f>
        <v>55817</v>
      </c>
      <c r="N6" s="201">
        <f t="shared" ref="N6:N11" si="1">M6-O6</f>
        <v>29249</v>
      </c>
      <c r="O6" s="201">
        <f>'SEGMENTO-02'!S15</f>
        <v>26568</v>
      </c>
    </row>
    <row r="7" spans="1:15" x14ac:dyDescent="0.3">
      <c r="A7" s="121" t="s">
        <v>23</v>
      </c>
      <c r="B7" s="112">
        <v>736</v>
      </c>
      <c r="C7" s="112" t="s">
        <v>24</v>
      </c>
      <c r="D7" s="113">
        <v>0</v>
      </c>
      <c r="E7" s="112">
        <v>745</v>
      </c>
      <c r="F7" s="112" t="s">
        <v>24</v>
      </c>
      <c r="G7" s="113">
        <v>500</v>
      </c>
      <c r="H7" s="114">
        <f t="shared" si="0"/>
        <v>9500</v>
      </c>
      <c r="I7" s="118">
        <f>'nv. greide SEGMENTO-03'!W18</f>
        <v>29390.399999999998</v>
      </c>
      <c r="L7" s="154" t="s">
        <v>110</v>
      </c>
      <c r="M7" s="201">
        <f>'nv. greide SEGMENTO-03'!M18</f>
        <v>137431.1</v>
      </c>
      <c r="N7" s="201">
        <f t="shared" si="1"/>
        <v>108040.70000000001</v>
      </c>
      <c r="O7" s="201">
        <f>'nv. greide SEGMENTO-03'!O18</f>
        <v>29390.399999999998</v>
      </c>
    </row>
    <row r="8" spans="1:15" ht="15" thickBot="1" x14ac:dyDescent="0.35">
      <c r="A8" s="122" t="s">
        <v>111</v>
      </c>
      <c r="B8" s="123"/>
      <c r="C8" s="123"/>
      <c r="D8" s="124"/>
      <c r="E8" s="123"/>
      <c r="F8" s="123"/>
      <c r="G8" s="124"/>
      <c r="H8" s="125"/>
      <c r="I8" s="126">
        <f>'INTERSEÇÃO - km 713+700'!P42</f>
        <v>45277.009999999995</v>
      </c>
      <c r="L8" s="154" t="s">
        <v>112</v>
      </c>
      <c r="M8" s="201">
        <f>'INTERSEÇÃO - km 713+700'!N24</f>
        <v>63575.101759999714</v>
      </c>
      <c r="N8" s="201">
        <f t="shared" si="1"/>
        <v>22624.791759999716</v>
      </c>
      <c r="O8" s="201">
        <f>'INTERSEÇÃO - km 713+700'!P24</f>
        <v>40950.31</v>
      </c>
    </row>
    <row r="9" spans="1:15" ht="15" thickBot="1" x14ac:dyDescent="0.35">
      <c r="A9" s="127" t="s">
        <v>113</v>
      </c>
      <c r="B9" s="128"/>
      <c r="C9" s="128"/>
      <c r="D9" s="128"/>
      <c r="E9" s="128"/>
      <c r="F9" s="128"/>
      <c r="G9" s="128"/>
      <c r="H9" s="128"/>
      <c r="I9" s="129">
        <f>'INTERSEÇÃO - km 746+320'!AC47</f>
        <v>96981.551325000008</v>
      </c>
      <c r="L9" s="154" t="s">
        <v>114</v>
      </c>
      <c r="M9" s="201">
        <f>'INTERSEÇÃO - km 713+700'!N41</f>
        <v>23784.219169998461</v>
      </c>
      <c r="N9" s="201">
        <f t="shared" si="1"/>
        <v>19457.519169998461</v>
      </c>
      <c r="O9" s="201">
        <f>'INTERSEÇÃO - km 713+700'!P41</f>
        <v>4326.7</v>
      </c>
    </row>
    <row r="10" spans="1:15" x14ac:dyDescent="0.3">
      <c r="I10" s="94">
        <f>SUM(I5:I9)</f>
        <v>222302.06132500002</v>
      </c>
      <c r="L10" s="154" t="s">
        <v>115</v>
      </c>
      <c r="M10" s="201">
        <f>'INTERSEÇÃO - km 746+320'!AC24</f>
        <v>76446.17</v>
      </c>
      <c r="N10" s="201">
        <f>M10-O10</f>
        <v>0</v>
      </c>
      <c r="O10" s="201">
        <f>'INTERSEÇÃO - km 746+320'!AC24</f>
        <v>76446.17</v>
      </c>
    </row>
    <row r="11" spans="1:15" x14ac:dyDescent="0.3">
      <c r="I11" s="94"/>
      <c r="L11" s="154" t="s">
        <v>116</v>
      </c>
      <c r="M11" s="201">
        <f>'INTERSEÇÃO - km 746+320'!AC38</f>
        <v>20535.381325000002</v>
      </c>
      <c r="N11" s="201">
        <f t="shared" si="1"/>
        <v>0</v>
      </c>
      <c r="O11" s="201">
        <f>'INTERSEÇÃO - km 746+320'!AC38</f>
        <v>20535.381325000002</v>
      </c>
    </row>
    <row r="12" spans="1:15" x14ac:dyDescent="0.3">
      <c r="I12" s="94"/>
      <c r="L12" s="154" t="s">
        <v>117</v>
      </c>
      <c r="M12" s="201">
        <f>'INTERSEÇÃO - km 746+320'!AC46</f>
        <v>1344.4306400000658</v>
      </c>
      <c r="N12" s="201">
        <f>M12-O12</f>
        <v>0</v>
      </c>
      <c r="O12" s="201">
        <f>'INTERSEÇÃO - km 746+320'!AC46</f>
        <v>1344.4306400000658</v>
      </c>
    </row>
    <row r="13" spans="1:15" x14ac:dyDescent="0.3">
      <c r="I13" s="94"/>
      <c r="L13" s="154" t="s">
        <v>118</v>
      </c>
      <c r="M13" s="201">
        <f>'nv. greide SEGMENTO-03'!M24</f>
        <v>1329.9969000000001</v>
      </c>
      <c r="N13" s="201">
        <f>M13-O13</f>
        <v>0</v>
      </c>
      <c r="O13" s="201">
        <f>'nv. greide SEGMENTO-03'!O24</f>
        <v>1329.9969000000001</v>
      </c>
    </row>
    <row r="14" spans="1:15" x14ac:dyDescent="0.3">
      <c r="I14" s="94"/>
      <c r="L14" s="40"/>
      <c r="M14" s="40"/>
      <c r="N14" s="40"/>
      <c r="O14" s="40"/>
    </row>
    <row r="15" spans="1:15" x14ac:dyDescent="0.3">
      <c r="I15" s="94"/>
      <c r="L15" s="154" t="s">
        <v>104</v>
      </c>
      <c r="M15" s="154" t="s">
        <v>105</v>
      </c>
      <c r="N15" s="154" t="s">
        <v>106</v>
      </c>
      <c r="O15" s="154" t="s">
        <v>107</v>
      </c>
    </row>
    <row r="16" spans="1:15" x14ac:dyDescent="0.3">
      <c r="I16" s="94"/>
      <c r="L16" s="154" t="s">
        <v>119</v>
      </c>
      <c r="M16" s="201">
        <f>SUM(M5:M7)</f>
        <v>307382.91021557682</v>
      </c>
      <c r="N16" s="201">
        <f t="shared" ref="N16:O16" si="2">SUM(N5:N7)</f>
        <v>227339.41021557682</v>
      </c>
      <c r="O16" s="201">
        <f t="shared" si="2"/>
        <v>80043.5</v>
      </c>
    </row>
    <row r="17" spans="9:15" x14ac:dyDescent="0.3">
      <c r="I17" s="94"/>
      <c r="L17" s="154" t="s">
        <v>120</v>
      </c>
      <c r="M17" s="201">
        <f>SUM(M8:M9)</f>
        <v>87359.320929998183</v>
      </c>
      <c r="N17" s="201">
        <f t="shared" ref="N17:O17" si="3">SUM(N8:N9)</f>
        <v>42082.310929998173</v>
      </c>
      <c r="O17" s="201">
        <f t="shared" si="3"/>
        <v>45277.009999999995</v>
      </c>
    </row>
    <row r="18" spans="9:15" x14ac:dyDescent="0.3">
      <c r="L18" s="154" t="s">
        <v>121</v>
      </c>
      <c r="M18" s="201">
        <f>SUM(M10:M11)</f>
        <v>96981.551325000008</v>
      </c>
      <c r="N18" s="201">
        <f t="shared" ref="N18:O18" si="4">SUM(N10:N11)</f>
        <v>0</v>
      </c>
      <c r="O18" s="201">
        <f t="shared" si="4"/>
        <v>96981.551325000008</v>
      </c>
    </row>
    <row r="19" spans="9:15" x14ac:dyDescent="0.3">
      <c r="L19" s="154" t="s">
        <v>122</v>
      </c>
      <c r="M19" s="201">
        <f>SUM(M12:M13)</f>
        <v>2674.4275400000661</v>
      </c>
      <c r="N19" s="201">
        <f t="shared" ref="N19:O19" si="5">SUM(N12:N13)</f>
        <v>0</v>
      </c>
      <c r="O19" s="201">
        <f t="shared" si="5"/>
        <v>2674.4275400000661</v>
      </c>
    </row>
    <row r="20" spans="9:15" x14ac:dyDescent="0.3">
      <c r="L20" s="154" t="s">
        <v>123</v>
      </c>
      <c r="M20" s="201">
        <f>SUM(M16:M19)</f>
        <v>494398.21001057507</v>
      </c>
      <c r="N20" s="201">
        <f t="shared" ref="N20:O20" si="6">SUM(N16:N19)</f>
        <v>269421.72114557499</v>
      </c>
      <c r="O20" s="201">
        <f t="shared" si="6"/>
        <v>224976.48886500008</v>
      </c>
    </row>
    <row r="25" spans="9:15" x14ac:dyDescent="0.3">
      <c r="K25" s="176" t="s">
        <v>124</v>
      </c>
      <c r="L25" s="176" t="s">
        <v>125</v>
      </c>
    </row>
    <row r="26" spans="9:15" x14ac:dyDescent="0.3">
      <c r="K26" t="str">
        <f>"Seg-01: "&amp;B5&amp;"+"&amp;TEXT(D5,"000")&amp;" ao "&amp;E5&amp;"+"&amp;TEXT(G5,"000")</f>
        <v>Seg-01: 701+000 ao 713+500</v>
      </c>
      <c r="L26" s="177">
        <f>I5</f>
        <v>24085.1</v>
      </c>
    </row>
    <row r="27" spans="9:15" x14ac:dyDescent="0.3">
      <c r="K27" t="str">
        <f>"Seg-02 Sul: "&amp;'SEGMENTO-02'!U7&amp;"+"&amp;TEXT('SEGMENTO-02'!W7,"000")&amp;" ao "&amp;'SEGMENTO-02'!X11&amp;"+"&amp;TEXT('SEGMENTO-02'!Z11,"000")</f>
        <v>Seg-02 Sul: 732+000 ao 736+380</v>
      </c>
      <c r="L27" s="177">
        <f>'SEGMENTO-02'!AA12</f>
        <v>10595.9</v>
      </c>
      <c r="M27" s="177">
        <f>L27+L28</f>
        <v>26568</v>
      </c>
    </row>
    <row r="28" spans="9:15" x14ac:dyDescent="0.3">
      <c r="K28" t="str">
        <f>"Seg-02 Norte: "&amp;'SEGMENTO-02'!U16&amp;"+"&amp;TEXT('SEGMENTO-02'!W16,"000")&amp;" ao "&amp;'SEGMENTO-02'!X18&amp;"+"&amp;TEXT('SEGMENTO-02'!Z18,"000")</f>
        <v>Seg-02 Norte: 732+000 ao 734+220</v>
      </c>
      <c r="L28" s="177">
        <f>'SEGMENTO-02'!AA19</f>
        <v>15972.099999999999</v>
      </c>
    </row>
    <row r="29" spans="9:15" x14ac:dyDescent="0.3">
      <c r="K29" t="str">
        <f>"Seg-03: "&amp;B7&amp;"+"&amp;TEXT(D7,"000")&amp;" ao "&amp;E7&amp;"+"&amp;TEXT(G7,"000")</f>
        <v>Seg-03: 736+000 ao 745+500</v>
      </c>
      <c r="L29" s="177">
        <f>I7</f>
        <v>29390.399999999998</v>
      </c>
      <c r="M29" s="177">
        <v>62270.96</v>
      </c>
    </row>
    <row r="30" spans="9:15" x14ac:dyDescent="0.3">
      <c r="K30" t="str">
        <f>A8</f>
        <v>INTERSEÇÃO - km 713+700 PRIMAVERA</v>
      </c>
      <c r="L30" s="177">
        <f>I8</f>
        <v>45277.009999999995</v>
      </c>
      <c r="M30" s="177">
        <v>49469.19999999999</v>
      </c>
    </row>
    <row r="31" spans="9:15" x14ac:dyDescent="0.3">
      <c r="K31" s="175" t="str">
        <f>A9</f>
        <v>INTERSEÇÃO - km 746+320 SORRISO</v>
      </c>
      <c r="L31" s="178">
        <f>I9</f>
        <v>96981.551325000008</v>
      </c>
    </row>
    <row r="32" spans="9:15" x14ac:dyDescent="0.3">
      <c r="K32" s="175" t="s">
        <v>126</v>
      </c>
      <c r="L32" s="178">
        <f>SUM(L26:L31)</f>
        <v>222302.06132500002</v>
      </c>
    </row>
  </sheetData>
  <mergeCells count="8">
    <mergeCell ref="L3:O3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Maria Vitoria Amorim Jati Sousa</cp:lastModifiedBy>
  <cp:revision/>
  <dcterms:created xsi:type="dcterms:W3CDTF">2026-02-25T15:09:39Z</dcterms:created>
  <dcterms:modified xsi:type="dcterms:W3CDTF">2026-09-03T21:57:51Z</dcterms:modified>
  <cp:category/>
  <cp:contentStatus/>
</cp:coreProperties>
</file>