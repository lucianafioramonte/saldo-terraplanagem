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104" documentId="8_{8C6A5E01-9F33-45D5-889E-4563BA0E022B}" xr6:coauthVersionLast="47" xr6:coauthVersionMax="47" xr10:uidLastSave="{D415EA05-2402-4B25-9195-40CA7F555AFF}"/>
  <bookViews>
    <workbookView xWindow="34785" yWindow="0" windowWidth="14610" windowHeight="15585" tabRatio="826" firstSheet="3" activeTab="5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6" l="1"/>
  <c r="H11" i="6"/>
  <c r="H14" i="6" l="1"/>
  <c r="H13" i="6"/>
  <c r="H12" i="6"/>
  <c r="M8" i="6"/>
  <c r="M9" i="6"/>
  <c r="M10" i="6"/>
  <c r="M11" i="6"/>
  <c r="M12" i="6"/>
  <c r="M13" i="6"/>
  <c r="M16" i="6"/>
  <c r="M17" i="6"/>
  <c r="M7" i="6"/>
  <c r="N47" i="5" l="1"/>
  <c r="N24" i="5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O25" i="3"/>
  <c r="Q41" i="4" l="1"/>
  <c r="R41" i="4" s="1"/>
  <c r="M7" i="2"/>
  <c r="N12" i="3"/>
  <c r="N13" i="3"/>
  <c r="N14" i="3"/>
  <c r="N15" i="3"/>
  <c r="N16" i="3"/>
  <c r="N17" i="3"/>
  <c r="N8" i="3"/>
  <c r="J18" i="3" l="1"/>
  <c r="K18" i="3"/>
  <c r="L18" i="3"/>
  <c r="O18" i="3" l="1"/>
  <c r="M18" i="3"/>
  <c r="M8" i="3"/>
  <c r="O13" i="6"/>
  <c r="O24" i="3"/>
  <c r="O10" i="6"/>
  <c r="O9" i="6"/>
  <c r="O8" i="6"/>
  <c r="M9" i="2" l="1"/>
  <c r="M10" i="2"/>
  <c r="M12" i="2"/>
  <c r="O5" i="6"/>
  <c r="N13" i="6"/>
  <c r="N9" i="6"/>
  <c r="O17" i="6"/>
  <c r="O7" i="6"/>
  <c r="N10" i="6"/>
  <c r="R9" i="6" l="1"/>
  <c r="R8" i="6"/>
  <c r="R7" i="6"/>
  <c r="R6" i="6"/>
  <c r="S5" i="6"/>
  <c r="R5" i="6"/>
  <c r="S15" i="2"/>
  <c r="O6" i="6" s="1"/>
  <c r="O16" i="6" s="1"/>
  <c r="P15" i="2"/>
  <c r="O15" i="2"/>
  <c r="M15" i="2"/>
  <c r="M6" i="6" s="1"/>
  <c r="L15" i="2"/>
  <c r="K15" i="2"/>
  <c r="J15" i="2"/>
  <c r="I15" i="2"/>
  <c r="R4" i="6"/>
  <c r="AA17" i="2"/>
  <c r="AA18" i="2"/>
  <c r="AA16" i="2"/>
  <c r="AA19" i="2"/>
  <c r="S6" i="6" s="1"/>
  <c r="P14" i="2"/>
  <c r="M14" i="2"/>
  <c r="Q14" i="2" s="1"/>
  <c r="H14" i="2"/>
  <c r="AA8" i="2"/>
  <c r="AA9" i="2"/>
  <c r="AA10" i="2"/>
  <c r="AA7" i="2"/>
  <c r="H11" i="2"/>
  <c r="O7" i="3"/>
  <c r="H8" i="3"/>
  <c r="W10" i="3"/>
  <c r="W11" i="3"/>
  <c r="W12" i="3"/>
  <c r="W13" i="3"/>
  <c r="W14" i="3"/>
  <c r="W15" i="3"/>
  <c r="W16" i="3"/>
  <c r="W17" i="3"/>
  <c r="W9" i="3"/>
  <c r="N6" i="6" l="1"/>
  <c r="AA12" i="2"/>
  <c r="W18" i="3"/>
  <c r="O41" i="4"/>
  <c r="O42" i="4" s="1"/>
  <c r="P41" i="4"/>
  <c r="P2" i="4"/>
  <c r="P24" i="4"/>
  <c r="H18" i="4"/>
  <c r="O2" i="3"/>
  <c r="S2" i="2"/>
  <c r="M13" i="3"/>
  <c r="M17" i="3"/>
  <c r="P42" i="4" l="1"/>
  <c r="I8" i="6" s="1"/>
  <c r="S8" i="6" s="1"/>
  <c r="H7" i="6"/>
  <c r="H6" i="6"/>
  <c r="H5" i="6"/>
  <c r="M9" i="3"/>
  <c r="N9" i="3" s="1"/>
  <c r="M10" i="3"/>
  <c r="N10" i="3" s="1"/>
  <c r="M11" i="3"/>
  <c r="N11" i="3" s="1"/>
  <c r="M12" i="3"/>
  <c r="M14" i="3"/>
  <c r="M15" i="3"/>
  <c r="M16" i="3"/>
  <c r="M7" i="3"/>
  <c r="H16" i="3"/>
  <c r="I45" i="3"/>
  <c r="I7" i="6" l="1"/>
  <c r="S7" i="6" s="1"/>
  <c r="M49" i="5"/>
  <c r="R14" i="1" l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I5" i="6" s="1"/>
  <c r="S4" i="6" s="1"/>
  <c r="H21" i="1"/>
  <c r="H16" i="1"/>
  <c r="H13" i="1"/>
  <c r="H8" i="1"/>
  <c r="R24" i="1" l="1"/>
  <c r="P8" i="2"/>
  <c r="P9" i="2"/>
  <c r="P10" i="2"/>
  <c r="P12" i="2"/>
  <c r="P7" i="2"/>
  <c r="I6" i="6" l="1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N5" i="6" l="1"/>
  <c r="O29" i="1"/>
  <c r="K24" i="5" l="1"/>
  <c r="H23" i="5"/>
  <c r="H22" i="5"/>
  <c r="H21" i="5"/>
  <c r="H20" i="5"/>
  <c r="K24" i="4"/>
  <c r="H23" i="4"/>
  <c r="H22" i="4"/>
  <c r="H21" i="4"/>
  <c r="H20" i="4"/>
  <c r="H19" i="4"/>
  <c r="H41" i="5" l="1"/>
  <c r="H42" i="5"/>
  <c r="H43" i="5"/>
  <c r="H44" i="5"/>
  <c r="H45" i="5"/>
  <c r="L46" i="5"/>
  <c r="M46" i="5"/>
  <c r="K46" i="5"/>
  <c r="J46" i="5"/>
  <c r="I46" i="5"/>
  <c r="A46" i="5"/>
  <c r="H40" i="5"/>
  <c r="N46" i="5" l="1"/>
  <c r="M21" i="3"/>
  <c r="M22" i="3"/>
  <c r="M23" i="3"/>
  <c r="M20" i="3"/>
  <c r="N38" i="4"/>
  <c r="N39" i="4"/>
  <c r="N40" i="4"/>
  <c r="N27" i="4"/>
  <c r="N28" i="4"/>
  <c r="N29" i="4"/>
  <c r="N30" i="4"/>
  <c r="N31" i="4"/>
  <c r="N32" i="4"/>
  <c r="N33" i="4"/>
  <c r="N34" i="4"/>
  <c r="N35" i="4"/>
  <c r="N36" i="4"/>
  <c r="N37" i="4"/>
  <c r="N26" i="4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P46" i="5" l="1"/>
  <c r="O12" i="6" s="1"/>
  <c r="O19" i="6" s="1"/>
  <c r="N24" i="4"/>
  <c r="L38" i="5"/>
  <c r="I38" i="5"/>
  <c r="M38" i="5"/>
  <c r="J38" i="5"/>
  <c r="I24" i="5"/>
  <c r="K38" i="5"/>
  <c r="L24" i="5"/>
  <c r="J24" i="5"/>
  <c r="M24" i="5"/>
  <c r="M19" i="6" l="1"/>
  <c r="N12" i="6"/>
  <c r="N19" i="6" s="1"/>
  <c r="Q24" i="4"/>
  <c r="R24" i="4" s="1"/>
  <c r="N7" i="6"/>
  <c r="N16" i="6" s="1"/>
  <c r="K47" i="5"/>
  <c r="L47" i="5"/>
  <c r="I47" i="5"/>
  <c r="M47" i="5"/>
  <c r="J47" i="5"/>
  <c r="N38" i="5"/>
  <c r="O11" i="6" l="1"/>
  <c r="O18" i="6" s="1"/>
  <c r="O20" i="6" s="1"/>
  <c r="N8" i="6"/>
  <c r="N17" i="6" s="1"/>
  <c r="I9" i="6"/>
  <c r="S9" i="6" s="1"/>
  <c r="S10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N11" i="6" l="1"/>
  <c r="N18" i="6" s="1"/>
  <c r="N20" i="6" s="1"/>
  <c r="M18" i="6"/>
  <c r="M20" i="6" s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N42" i="4" l="1"/>
  <c r="I24" i="3" l="1"/>
  <c r="J24" i="3"/>
  <c r="K24" i="3"/>
  <c r="L24" i="3"/>
  <c r="A24" i="3"/>
  <c r="I18" i="3"/>
  <c r="K25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<sst xmlns="http://schemas.openxmlformats.org/spreadsheetml/2006/main" count="547" uniqueCount="118">
  <si>
    <t>RESUMO DA TERRAPLENAGEM POR EIXO DE PROJETO</t>
  </si>
  <si>
    <t>BR-163/MT</t>
  </si>
  <si>
    <t>Localização</t>
  </si>
  <si>
    <t>Estaca</t>
  </si>
  <si>
    <t>Extensão              
(m)</t>
  </si>
  <si>
    <t>Volumes</t>
  </si>
  <si>
    <t>Escavação</t>
  </si>
  <si>
    <t>Compactação</t>
  </si>
  <si>
    <t>Início</t>
  </si>
  <si>
    <t>Final</t>
  </si>
  <si>
    <t>Corte 1ª            
(m³)</t>
  </si>
  <si>
    <t>Rebaixo do Subleito
(m³)</t>
  </si>
  <si>
    <t>Aterro (Corpo)
(m³)</t>
  </si>
  <si>
    <t>Aterro (Acabamento)
(m³)</t>
  </si>
  <si>
    <t>Aterro (Rebaixo do Subleito)
(m³)</t>
  </si>
  <si>
    <t>RODOVIA</t>
  </si>
  <si>
    <t>+</t>
  </si>
  <si>
    <t xml:space="preserve"> BR-163-MT-Pista Sul - Duplicação</t>
  </si>
  <si>
    <t>TOTAL GERAL</t>
  </si>
  <si>
    <t>Projeto:1095 km 701+000 ao km713+500</t>
  </si>
  <si>
    <t>Projeto:1097 km 736+640 ao km 745+500</t>
  </si>
  <si>
    <t>ACESSOS</t>
  </si>
  <si>
    <t>Acesso km 742+440 - RA</t>
  </si>
  <si>
    <t>Acesso km 742+440 - RB</t>
  </si>
  <si>
    <t>Acesso km 743+830 - RA</t>
  </si>
  <si>
    <t>Acesso km 743+830 - RB</t>
  </si>
  <si>
    <t>Projeto:</t>
  </si>
  <si>
    <t>INTERSEÇÃO - km 713+700</t>
  </si>
  <si>
    <t>Ramo 100</t>
  </si>
  <si>
    <t>Ramo 200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</si>
  <si>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</si>
  <si>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</si>
  <si>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</si>
  <si>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</si>
  <si>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</si>
  <si>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</si>
  <si>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</si>
  <si>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</si>
  <si>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</si>
  <si>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</si>
  <si>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</si>
  <si>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</si>
  <si>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</si>
  <si>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</si>
  <si>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</si>
  <si>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</si>
  <si>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</si>
  <si>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</si>
  <si>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</si>
  <si>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</si>
  <si>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</si>
  <si>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</si>
  <si>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</si>
  <si>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</si>
  <si>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</si>
  <si>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Volume</t>
  </si>
  <si>
    <t>INTERSEÇÃO - km 746+320</t>
  </si>
  <si>
    <t>Rodovia BR-163/MT</t>
  </si>
  <si>
    <t>Acesso MT-560-RA</t>
  </si>
  <si>
    <t>Acesso MT-560-RB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</si>
  <si>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</si>
  <si>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</si>
  <si>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</si>
  <si>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</si>
  <si>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</si>
  <si>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</si>
  <si>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</si>
  <si>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</si>
  <si>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</si>
  <si>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</si>
  <si>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Total Aterro 
(m³)</t>
  </si>
  <si>
    <t>Total Aterro
(m³)</t>
  </si>
  <si>
    <t>TOTAL -GERAL</t>
  </si>
  <si>
    <t>Acesso km 755+250</t>
  </si>
  <si>
    <t xml:space="preserve"> BR-163-MT-Pista norte Restauração</t>
  </si>
  <si>
    <t>REBAIXOMENTO DO INT.km.713+700 R.100.ENCONTRO-1</t>
  </si>
  <si>
    <t>REBAIXOMENTO DO INT.km.713+700 R.100.ENCONTRO-2</t>
  </si>
  <si>
    <t>REBAIXOMENTO DOINTERSEÇÃO - km 746+320</t>
  </si>
  <si>
    <t>PRIMITIVO</t>
  </si>
  <si>
    <t>EXECUTADO</t>
  </si>
  <si>
    <t>Saldo Total Aterro
(m³)</t>
  </si>
  <si>
    <t>%</t>
  </si>
  <si>
    <t xml:space="preserve"> Aterro (Corpo)
(m³)</t>
  </si>
  <si>
    <t>GALERIA.3000X3000</t>
  </si>
  <si>
    <t>GALERIA.3500X3500</t>
  </si>
  <si>
    <t>RETORNO</t>
  </si>
  <si>
    <t>Projeto:1095 km 701+000 ao km714+000</t>
  </si>
  <si>
    <t>JUNHO</t>
  </si>
  <si>
    <t>ATUALIZAÇÃO :</t>
  </si>
  <si>
    <t>REBAIXOMENTO DO INT.km.713+700 R.100.ENCONTRO-0</t>
  </si>
  <si>
    <t>INTERSEÇÃO - km 713+700 PRIMAVERA</t>
  </si>
  <si>
    <t>INTERSEÇÃO - km 746+320 SORRISO</t>
  </si>
  <si>
    <t>agosto</t>
  </si>
  <si>
    <t>vol. seg-03 736+640_745+515</t>
  </si>
  <si>
    <t>vol. seg-03 732+00_736+380 sul</t>
  </si>
  <si>
    <t>vol. seg-03 732+000 ao 734+220 norte</t>
  </si>
  <si>
    <t>Trecho</t>
  </si>
  <si>
    <t>Saldo Aterro (m³)</t>
  </si>
  <si>
    <t>TOTAL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</si>
  <si>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</si>
  <si>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</si>
  <si>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</si>
  <si>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</si>
  <si>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</si>
  <si>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</si>
  <si>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</si>
  <si>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</si>
  <si>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Dispositivo Primavera</t>
  </si>
  <si>
    <t>Marginais Primavera</t>
  </si>
  <si>
    <t>Dispositivo Sorriso</t>
  </si>
  <si>
    <t>Marginais Sorriso</t>
  </si>
  <si>
    <t>Acesso Km 755</t>
  </si>
  <si>
    <t>Acesso KMm 743-742</t>
  </si>
  <si>
    <t>Total dos Segmentos</t>
  </si>
  <si>
    <t>Total de Primavera</t>
  </si>
  <si>
    <t>Total de Sorriso</t>
  </si>
  <si>
    <t>Acessos</t>
  </si>
  <si>
    <t>Volume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</si>
</sst>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50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4" fontId="0" fillId="0" borderId="72" xfId="0" applyNumberFormat="1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166" fontId="0" fillId="0" borderId="69" xfId="0" applyNumberFormat="1" applyBorder="1" applyAlignment="1">
      <alignment horizontal="center"/>
    </xf>
    <xf numFmtId="166" fontId="0" fillId="0" borderId="0" xfId="0" applyNumberFormat="1"/>
    <xf numFmtId="9" fontId="0" fillId="0" borderId="0" xfId="4" applyFont="1"/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VOLUMES'!$S$3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VOLUMES'!$R$4:$R$9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VOLUMES'!$S$4:$S$9</c:f>
              <c:numCache>
                <c:formatCode>#,##0</c:formatCode>
                <c:ptCount val="6"/>
                <c:pt idx="0">
                  <c:v>30975</c:v>
                </c:pt>
                <c:pt idx="1">
                  <c:v>11334.8</c:v>
                </c:pt>
                <c:pt idx="2">
                  <c:v>24507.8</c:v>
                </c:pt>
                <c:pt idx="3">
                  <c:v>62270.959999999992</c:v>
                </c:pt>
                <c:pt idx="4">
                  <c:v>70161.922659998381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381000</xdr:colOff>
      <xdr:row>2</xdr:row>
      <xdr:rowOff>133350</xdr:rowOff>
    </xdr:from>
    <xdr:to>
      <xdr:col>31</xdr:col>
      <xdr:colOff>485775</xdr:colOff>
      <xdr:row>20</xdr:row>
      <xdr:rowOff>142875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anchestripolonicombr-my.sharepoint.com/personal/kamilabarroso_tripoloni_com/Documents/421%20-%20LRV_SORRISO/00-PLANEJAMENTO/09%20-%20Se&#231;&#227;o%20T&#233;cnica/03%20-%20Volumes%20dos%20trechos/COMPARATIVO%20volumes%20da%20obra%20geral%20seg.1095,1096,1097,1096A,1098%202026-07-27.xlsx" TargetMode="External"/><Relationship Id="rId2" Type="http://schemas.microsoft.com/office/2019/04/relationships/externalLinkLongPath" Target="COMPARATIVO%20volumes%20da%20obra%20geral%20seg.1095,1096,1097,1096A,1098%202026-07-27.xlsx?360E5D7A" TargetMode="External"/><Relationship Id="rId1" Type="http://schemas.openxmlformats.org/officeDocument/2006/relationships/externalLinkPath" Target="file:///\\360E5D7A\COMPARATIVO%20volumes%20da%20obra%20geral%20seg.1095,1096,1097,1096A,1098%202026-07-27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anchestripolonicombr-my.sharepoint.com/personal/kamilabarroso_tripoloni_com/Documents/421%20-%20LRV_SORRISO/00-PLANEJAMENTO/09%20-%20Se&#231;&#227;o%20T&#233;cnica/03%20-%20Volumes%20dos%20trechos/COMPARATIVO%20volumes%20da%20obra%20geral%20seg.1095,1096,1097,1096A,1098%202026-07-22.xlsx" TargetMode="External"/><Relationship Id="rId2" Type="http://schemas.microsoft.com/office/2019/04/relationships/externalLinkLongPath" Target="COMPARATIVO%20volumes%20da%20obra%20geral%20seg.1095,1096,1097,1096A,1098%202026-07-22.xlsx?360E5D7A" TargetMode="External"/><Relationship Id="rId1" Type="http://schemas.openxmlformats.org/officeDocument/2006/relationships/externalLinkPath" Target="file:///\\360E5D7A\COMPARATIVO%20volumes%20da%20obra%20geral%20seg.1095,1096,1097,1096A,1098%202026-07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GMENTO-01"/>
      <sheetName val="SEGMENTO-02"/>
      <sheetName val="nv. greide SEGMENTO-03"/>
      <sheetName val="INTERSEÇÃO - km 713+700"/>
      <sheetName val="INTERSEÇÃO - km 746+320"/>
      <sheetName val="RESUMO DE VOLUMES"/>
    </sheetNames>
    <sheetDataSet>
      <sheetData sheetId="0"/>
      <sheetData sheetId="1"/>
      <sheetData sheetId="2"/>
      <sheetData sheetId="3"/>
      <sheetData sheetId="4"/>
      <sheetData sheetId="5">
        <row r="5">
          <cell r="I5">
            <v>32972.600000000006</v>
          </cell>
        </row>
        <row r="6">
          <cell r="I6">
            <v>39829.499999999993</v>
          </cell>
        </row>
        <row r="7">
          <cell r="I7">
            <v>77571.100000000006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GMENTO-01"/>
      <sheetName val="SEGMENTO-02"/>
      <sheetName val="nv. greide SEGMENTO-03"/>
      <sheetName val="INTERSEÇÃO - km 713+700"/>
      <sheetName val="INTERSEÇÃO - km 746+320"/>
      <sheetName val="RESUMO DE VOLUMES"/>
    </sheetNames>
    <sheetDataSet>
      <sheetData sheetId="0"/>
      <sheetData sheetId="1"/>
      <sheetData sheetId="2"/>
      <sheetData sheetId="3"/>
      <sheetData sheetId="4"/>
      <sheetData sheetId="5">
        <row r="5">
          <cell r="I5">
            <v>32972.600000000006</v>
          </cell>
        </row>
        <row r="6">
          <cell r="I6">
            <v>52655</v>
          </cell>
        </row>
        <row r="7">
          <cell r="I7">
            <v>88350.5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S34"/>
  <sheetViews>
    <sheetView topLeftCell="B6" workbookViewId="0">
      <selection activeCell="M7" sqref="M7:M28"/>
    </sheetView>
  </sheetViews>
  <sheetFormatPr defaultRowHeight="15" x14ac:dyDescent="0.25"/>
  <cols>
    <col min="1" max="1" width="40.28515625" bestFit="1" customWidth="1"/>
    <col min="2" max="2" width="11.28515625" bestFit="1" customWidth="1"/>
    <col min="3" max="3" width="1.7109375" bestFit="1" customWidth="1"/>
    <col min="4" max="4" width="6.5703125" bestFit="1" customWidth="1"/>
    <col min="5" max="5" width="3.42578125" bestFit="1" customWidth="1"/>
    <col min="6" max="6" width="1.7109375" bestFit="1" customWidth="1"/>
    <col min="7" max="7" width="6.5703125" bestFit="1" customWidth="1"/>
    <col min="8" max="8" width="10.28515625" bestFit="1" customWidth="1"/>
    <col min="9" max="9" width="9.28515625" bestFit="1" customWidth="1"/>
    <col min="10" max="10" width="12.140625" bestFit="1" customWidth="1"/>
    <col min="11" max="11" width="15.7109375" bestFit="1" customWidth="1"/>
    <col min="12" max="12" width="17" bestFit="1" customWidth="1"/>
    <col min="13" max="13" width="12.85546875" bestFit="1" customWidth="1"/>
    <col min="14" max="14" width="11.42578125" bestFit="1" customWidth="1"/>
    <col min="15" max="15" width="16.28515625" bestFit="1" customWidth="1"/>
    <col min="16" max="16" width="12" bestFit="1" customWidth="1"/>
    <col min="17" max="17" width="5.42578125" style="40" bestFit="1" customWidth="1"/>
    <col min="18" max="18" width="16.28515625" style="40" bestFit="1" customWidth="1"/>
    <col min="19" max="19" width="12" bestFit="1" customWidth="1"/>
  </cols>
  <sheetData>
    <row r="1" spans="1:19" ht="16.5" x14ac:dyDescent="0.25">
      <c r="A1" s="195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7"/>
    </row>
    <row r="2" spans="1:19" ht="15.75" thickBot="1" x14ac:dyDescent="0.3">
      <c r="A2" s="95" t="s">
        <v>86</v>
      </c>
      <c r="B2" s="96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05"/>
      <c r="P2" s="205"/>
      <c r="Q2" s="206"/>
      <c r="R2" s="102" t="s">
        <v>88</v>
      </c>
      <c r="S2" s="103">
        <v>46235</v>
      </c>
    </row>
    <row r="3" spans="1:19" x14ac:dyDescent="0.25">
      <c r="A3" s="207" t="s">
        <v>2</v>
      </c>
      <c r="B3" s="208" t="s">
        <v>3</v>
      </c>
      <c r="C3" s="209"/>
      <c r="D3" s="209"/>
      <c r="E3" s="209"/>
      <c r="F3" s="209"/>
      <c r="G3" s="210"/>
      <c r="H3" s="214" t="s">
        <v>4</v>
      </c>
      <c r="I3" s="216" t="s">
        <v>5</v>
      </c>
      <c r="J3" s="217"/>
      <c r="K3" s="217"/>
      <c r="L3" s="217"/>
      <c r="M3" s="218"/>
      <c r="N3" s="216" t="s">
        <v>5</v>
      </c>
      <c r="O3" s="217"/>
      <c r="P3" s="218"/>
      <c r="Q3" s="45"/>
      <c r="R3" s="203" t="s">
        <v>92</v>
      </c>
      <c r="S3" s="204"/>
    </row>
    <row r="4" spans="1:19" ht="15" customHeight="1" thickBot="1" x14ac:dyDescent="0.3">
      <c r="A4" s="207"/>
      <c r="B4" s="211"/>
      <c r="C4" s="212"/>
      <c r="D4" s="212"/>
      <c r="E4" s="212"/>
      <c r="F4" s="212"/>
      <c r="G4" s="213"/>
      <c r="H4" s="214"/>
      <c r="I4" s="219" t="s">
        <v>6</v>
      </c>
      <c r="J4" s="220"/>
      <c r="K4" s="219" t="s">
        <v>78</v>
      </c>
      <c r="L4" s="221"/>
      <c r="M4" s="222"/>
      <c r="N4" s="38" t="s">
        <v>6</v>
      </c>
      <c r="O4" s="2" t="s">
        <v>79</v>
      </c>
      <c r="P4" s="201" t="s">
        <v>80</v>
      </c>
      <c r="Q4" s="45"/>
      <c r="R4" s="2" t="s">
        <v>79</v>
      </c>
      <c r="S4" s="201" t="s">
        <v>80</v>
      </c>
    </row>
    <row r="5" spans="1:19" ht="57.75" thickBot="1" x14ac:dyDescent="0.3">
      <c r="A5" s="207"/>
      <c r="B5" s="223" t="s">
        <v>8</v>
      </c>
      <c r="C5" s="223"/>
      <c r="D5" s="223"/>
      <c r="E5" s="223" t="s">
        <v>9</v>
      </c>
      <c r="F5" s="223"/>
      <c r="G5" s="223"/>
      <c r="H5" s="215"/>
      <c r="I5" s="18" t="s">
        <v>10</v>
      </c>
      <c r="J5" s="18" t="s">
        <v>11</v>
      </c>
      <c r="K5" s="18" t="s">
        <v>12</v>
      </c>
      <c r="L5" s="18" t="s">
        <v>14</v>
      </c>
      <c r="M5" s="19" t="s">
        <v>71</v>
      </c>
      <c r="N5" s="18" t="s">
        <v>10</v>
      </c>
      <c r="O5" s="18" t="s">
        <v>82</v>
      </c>
      <c r="P5" s="202"/>
      <c r="Q5" s="46" t="s">
        <v>81</v>
      </c>
      <c r="R5" s="18" t="s">
        <v>82</v>
      </c>
      <c r="S5" s="202"/>
    </row>
    <row r="6" spans="1:19" ht="15.75" thickBot="1" x14ac:dyDescent="0.3">
      <c r="A6" s="198" t="s">
        <v>15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200"/>
    </row>
    <row r="7" spans="1:19" x14ac:dyDescent="0.25">
      <c r="A7" s="20" t="s">
        <v>17</v>
      </c>
      <c r="B7" s="21">
        <v>701</v>
      </c>
      <c r="C7" s="22" t="s">
        <v>16</v>
      </c>
      <c r="D7" s="23">
        <v>0</v>
      </c>
      <c r="E7" s="21">
        <v>702</v>
      </c>
      <c r="F7" s="22" t="s">
        <v>16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10775.1</v>
      </c>
    </row>
    <row r="8" spans="1:19" x14ac:dyDescent="0.25">
      <c r="A8" s="67" t="s">
        <v>83</v>
      </c>
      <c r="B8" s="63">
        <v>701</v>
      </c>
      <c r="C8" s="64" t="s">
        <v>16</v>
      </c>
      <c r="D8" s="65">
        <v>867</v>
      </c>
      <c r="E8" s="63">
        <v>702</v>
      </c>
      <c r="F8" s="64" t="s">
        <v>16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19" x14ac:dyDescent="0.25">
      <c r="A9" s="4" t="s">
        <v>17</v>
      </c>
      <c r="B9" s="5">
        <v>702</v>
      </c>
      <c r="C9" s="6" t="s">
        <v>16</v>
      </c>
      <c r="D9" s="7">
        <v>0</v>
      </c>
      <c r="E9" s="5">
        <v>703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11528.4</v>
      </c>
    </row>
    <row r="10" spans="1:19" x14ac:dyDescent="0.25">
      <c r="A10" s="67" t="s">
        <v>83</v>
      </c>
      <c r="B10" s="63">
        <v>702</v>
      </c>
      <c r="C10" s="64" t="s">
        <v>16</v>
      </c>
      <c r="D10" s="65">
        <v>0</v>
      </c>
      <c r="E10" s="63">
        <v>702</v>
      </c>
      <c r="F10" s="64" t="s">
        <v>16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19" x14ac:dyDescent="0.25">
      <c r="A11" s="4" t="s">
        <v>17</v>
      </c>
      <c r="B11" s="5">
        <v>703</v>
      </c>
      <c r="C11" s="6" t="s">
        <v>16</v>
      </c>
      <c r="D11" s="7">
        <v>0</v>
      </c>
      <c r="E11" s="5">
        <v>704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19" x14ac:dyDescent="0.25">
      <c r="A12" s="4" t="s">
        <v>17</v>
      </c>
      <c r="B12" s="5">
        <v>704</v>
      </c>
      <c r="C12" s="6" t="s">
        <v>16</v>
      </c>
      <c r="D12" s="7">
        <v>0</v>
      </c>
      <c r="E12" s="5">
        <v>705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8671.5</v>
      </c>
    </row>
    <row r="13" spans="1:19" ht="13.9" customHeight="1" x14ac:dyDescent="0.25">
      <c r="A13" s="67" t="s">
        <v>84</v>
      </c>
      <c r="B13" s="63">
        <v>704</v>
      </c>
      <c r="C13" s="64" t="s">
        <v>16</v>
      </c>
      <c r="D13" s="65">
        <v>435</v>
      </c>
      <c r="E13" s="63">
        <v>704</v>
      </c>
      <c r="F13" s="64" t="s">
        <v>16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19" x14ac:dyDescent="0.25">
      <c r="A14" s="4" t="s">
        <v>17</v>
      </c>
      <c r="B14" s="5">
        <v>705</v>
      </c>
      <c r="C14" s="6" t="s">
        <v>16</v>
      </c>
      <c r="D14" s="7">
        <v>0</v>
      </c>
      <c r="E14" s="5">
        <v>706</v>
      </c>
      <c r="F14" s="6" t="s">
        <v>16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19" x14ac:dyDescent="0.25">
      <c r="A15" s="4" t="s">
        <v>17</v>
      </c>
      <c r="B15" s="5">
        <v>706</v>
      </c>
      <c r="C15" s="6" t="s">
        <v>16</v>
      </c>
      <c r="D15" s="7">
        <v>0</v>
      </c>
      <c r="E15" s="5">
        <v>707</v>
      </c>
      <c r="F15" s="6" t="s">
        <v>16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19" x14ac:dyDescent="0.25">
      <c r="A16" s="67" t="s">
        <v>85</v>
      </c>
      <c r="B16" s="63">
        <v>706</v>
      </c>
      <c r="C16" s="64" t="s">
        <v>16</v>
      </c>
      <c r="D16" s="65">
        <v>400</v>
      </c>
      <c r="E16" s="63">
        <v>707</v>
      </c>
      <c r="F16" s="64" t="s">
        <v>16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17</v>
      </c>
      <c r="B17" s="5">
        <v>707</v>
      </c>
      <c r="C17" s="6" t="s">
        <v>16</v>
      </c>
      <c r="D17" s="7">
        <v>0</v>
      </c>
      <c r="E17" s="5">
        <v>708</v>
      </c>
      <c r="F17" s="6" t="s">
        <v>16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17</v>
      </c>
      <c r="B18" s="5">
        <v>708</v>
      </c>
      <c r="C18" s="6" t="s">
        <v>16</v>
      </c>
      <c r="D18" s="7">
        <v>0</v>
      </c>
      <c r="E18" s="5">
        <v>709</v>
      </c>
      <c r="F18" s="6" t="s">
        <v>16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17</v>
      </c>
      <c r="B19" s="5">
        <v>709</v>
      </c>
      <c r="C19" s="6" t="s">
        <v>16</v>
      </c>
      <c r="D19" s="7">
        <v>0</v>
      </c>
      <c r="E19" s="5">
        <v>710</v>
      </c>
      <c r="F19" s="6" t="s">
        <v>16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17</v>
      </c>
      <c r="B20" s="5">
        <v>710</v>
      </c>
      <c r="C20" s="6" t="s">
        <v>16</v>
      </c>
      <c r="D20" s="7">
        <v>0</v>
      </c>
      <c r="E20" s="5">
        <v>711</v>
      </c>
      <c r="F20" s="6" t="s">
        <v>16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85</v>
      </c>
      <c r="B21" s="63">
        <v>710</v>
      </c>
      <c r="C21" s="6" t="s">
        <v>16</v>
      </c>
      <c r="D21" s="65">
        <v>600</v>
      </c>
      <c r="E21" s="63">
        <v>711</v>
      </c>
      <c r="F21" s="6" t="s">
        <v>16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17</v>
      </c>
      <c r="B22" s="5">
        <v>711</v>
      </c>
      <c r="C22" s="6" t="s">
        <v>16</v>
      </c>
      <c r="D22" s="7">
        <v>0</v>
      </c>
      <c r="E22" s="5">
        <v>712</v>
      </c>
      <c r="F22" s="6" t="s">
        <v>16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85</v>
      </c>
      <c r="B23" s="63">
        <v>711</v>
      </c>
      <c r="C23" s="6"/>
      <c r="D23" s="65">
        <v>0</v>
      </c>
      <c r="E23" s="63">
        <v>711</v>
      </c>
      <c r="F23" s="6" t="s">
        <v>16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17</v>
      </c>
      <c r="B24" s="5">
        <v>712</v>
      </c>
      <c r="C24" s="6" t="s">
        <v>16</v>
      </c>
      <c r="D24" s="7">
        <v>0</v>
      </c>
      <c r="E24" s="5">
        <v>713</v>
      </c>
      <c r="F24" s="6" t="s">
        <v>16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17</v>
      </c>
      <c r="B25" s="53">
        <v>713</v>
      </c>
      <c r="C25" s="54" t="s">
        <v>16</v>
      </c>
      <c r="D25" s="55">
        <v>0</v>
      </c>
      <c r="E25" s="53">
        <v>714</v>
      </c>
      <c r="F25" s="54" t="s">
        <v>16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17</v>
      </c>
      <c r="B26" s="75">
        <v>714</v>
      </c>
      <c r="C26" s="76" t="s">
        <v>16</v>
      </c>
      <c r="D26" s="77">
        <v>0</v>
      </c>
      <c r="E26" s="75">
        <v>715</v>
      </c>
      <c r="F26" s="76" t="s">
        <v>16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17</v>
      </c>
      <c r="B27" s="75">
        <v>715</v>
      </c>
      <c r="C27" s="76" t="s">
        <v>16</v>
      </c>
      <c r="D27" s="77">
        <v>0</v>
      </c>
      <c r="E27" s="75">
        <v>716</v>
      </c>
      <c r="F27" s="76" t="s">
        <v>16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17</v>
      </c>
      <c r="B28" s="75">
        <v>716</v>
      </c>
      <c r="C28" s="76" t="s">
        <v>16</v>
      </c>
      <c r="D28" s="77">
        <v>0</v>
      </c>
      <c r="E28" s="75">
        <v>717</v>
      </c>
      <c r="F28" s="76" t="s">
        <v>16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30975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5"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topLeftCell="K1" workbookViewId="0">
      <selection activeCell="M7" sqref="M7:M14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  <col min="20" max="20" width="8.85546875" customWidth="1"/>
    <col min="22" max="22" width="3.140625" customWidth="1"/>
    <col min="25" max="25" width="2.7109375" customWidth="1"/>
    <col min="27" max="27" width="13.7109375" customWidth="1"/>
  </cols>
  <sheetData>
    <row r="1" spans="1:27" ht="16.5" x14ac:dyDescent="0.25">
      <c r="A1" s="195" t="s">
        <v>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7"/>
    </row>
    <row r="2" spans="1:27" x14ac:dyDescent="0.25">
      <c r="A2" s="1" t="s">
        <v>19</v>
      </c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27"/>
      <c r="P2" s="227"/>
      <c r="Q2" s="227"/>
      <c r="R2" s="102" t="s">
        <v>88</v>
      </c>
      <c r="S2" s="103">
        <f>'SEGMENTO-01'!S2</f>
        <v>46235</v>
      </c>
    </row>
    <row r="3" spans="1:27" x14ac:dyDescent="0.25">
      <c r="A3" s="207" t="s">
        <v>2</v>
      </c>
      <c r="B3" s="208" t="s">
        <v>3</v>
      </c>
      <c r="C3" s="209"/>
      <c r="D3" s="209"/>
      <c r="E3" s="209"/>
      <c r="F3" s="209"/>
      <c r="G3" s="210"/>
      <c r="H3" s="214" t="s">
        <v>4</v>
      </c>
      <c r="I3" s="219" t="s">
        <v>5</v>
      </c>
      <c r="J3" s="221"/>
      <c r="K3" s="221"/>
      <c r="L3" s="221"/>
      <c r="M3" s="222"/>
      <c r="N3" s="219" t="s">
        <v>5</v>
      </c>
      <c r="O3" s="221"/>
      <c r="P3" s="222"/>
      <c r="Q3" s="45"/>
      <c r="R3" s="228" t="s">
        <v>92</v>
      </c>
      <c r="S3" s="229"/>
    </row>
    <row r="4" spans="1:27" ht="15.75" thickBot="1" x14ac:dyDescent="0.3">
      <c r="A4" s="207"/>
      <c r="B4" s="211"/>
      <c r="C4" s="212"/>
      <c r="D4" s="212"/>
      <c r="E4" s="212"/>
      <c r="F4" s="212"/>
      <c r="G4" s="213"/>
      <c r="H4" s="214"/>
      <c r="I4" s="219" t="s">
        <v>6</v>
      </c>
      <c r="J4" s="220"/>
      <c r="K4" s="219" t="s">
        <v>78</v>
      </c>
      <c r="L4" s="221"/>
      <c r="M4" s="222"/>
      <c r="N4" s="38" t="s">
        <v>6</v>
      </c>
      <c r="O4" s="2" t="s">
        <v>79</v>
      </c>
      <c r="P4" s="41"/>
      <c r="Q4" s="45"/>
      <c r="R4" s="2" t="s">
        <v>79</v>
      </c>
      <c r="S4" s="41"/>
    </row>
    <row r="5" spans="1:27" ht="42" customHeight="1" thickBot="1" x14ac:dyDescent="0.3">
      <c r="A5" s="232"/>
      <c r="B5" s="234" t="s">
        <v>8</v>
      </c>
      <c r="C5" s="234"/>
      <c r="D5" s="234"/>
      <c r="E5" s="234" t="s">
        <v>9</v>
      </c>
      <c r="F5" s="234"/>
      <c r="G5" s="234"/>
      <c r="H5" s="233"/>
      <c r="I5" s="2" t="s">
        <v>10</v>
      </c>
      <c r="J5" s="2" t="s">
        <v>11</v>
      </c>
      <c r="K5" s="2" t="s">
        <v>12</v>
      </c>
      <c r="L5" s="2" t="s">
        <v>14</v>
      </c>
      <c r="M5" s="3" t="s">
        <v>71</v>
      </c>
      <c r="N5" s="2" t="s">
        <v>10</v>
      </c>
      <c r="O5" s="2" t="s">
        <v>82</v>
      </c>
      <c r="P5" s="3" t="s">
        <v>80</v>
      </c>
      <c r="Q5" s="46" t="s">
        <v>81</v>
      </c>
      <c r="R5" s="2" t="s">
        <v>82</v>
      </c>
      <c r="S5" s="3" t="s">
        <v>80</v>
      </c>
      <c r="U5" s="224" t="s">
        <v>94</v>
      </c>
      <c r="V5" s="225"/>
      <c r="W5" s="225"/>
      <c r="X5" s="225"/>
      <c r="Y5" s="225"/>
      <c r="Z5" s="225"/>
      <c r="AA5" s="171"/>
    </row>
    <row r="6" spans="1:27" ht="15.75" thickBot="1" x14ac:dyDescent="0.3">
      <c r="A6" s="230" t="s">
        <v>15</v>
      </c>
      <c r="B6" s="231"/>
      <c r="C6" s="231"/>
      <c r="D6" s="23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U6" s="172"/>
      <c r="V6" s="173"/>
      <c r="W6" s="173"/>
      <c r="X6" s="173"/>
      <c r="Y6" s="173"/>
      <c r="Z6" s="173"/>
      <c r="AA6" s="174"/>
    </row>
    <row r="7" spans="1:27" x14ac:dyDescent="0.25">
      <c r="A7" s="4" t="s">
        <v>17</v>
      </c>
      <c r="B7" s="5">
        <v>732</v>
      </c>
      <c r="C7" s="6" t="s">
        <v>16</v>
      </c>
      <c r="D7" s="7">
        <v>0</v>
      </c>
      <c r="E7" s="5">
        <v>733</v>
      </c>
      <c r="F7" s="6" t="s">
        <v>16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f t="shared" ref="M7:M12" si="1">(K7+L7)</f>
        <v>3681.8</v>
      </c>
      <c r="O7" s="16">
        <v>0</v>
      </c>
      <c r="P7" s="16">
        <f>K7</f>
        <v>3681.8</v>
      </c>
      <c r="Q7" s="47">
        <f t="shared" ref="Q7:Q13" si="2">(O7/M7)*1</f>
        <v>0</v>
      </c>
      <c r="R7" s="17"/>
      <c r="S7" s="16">
        <v>759.7</v>
      </c>
      <c r="U7" s="21">
        <v>732</v>
      </c>
      <c r="V7" s="22" t="s">
        <v>16</v>
      </c>
      <c r="W7" s="23">
        <v>0</v>
      </c>
      <c r="X7" s="21">
        <v>733</v>
      </c>
      <c r="Y7" s="22" t="s">
        <v>16</v>
      </c>
      <c r="Z7" s="23">
        <v>0</v>
      </c>
      <c r="AA7" s="26">
        <f>S7</f>
        <v>759.7</v>
      </c>
    </row>
    <row r="8" spans="1:27" x14ac:dyDescent="0.25">
      <c r="A8" s="4" t="s">
        <v>17</v>
      </c>
      <c r="B8" s="5">
        <v>733</v>
      </c>
      <c r="C8" s="6" t="s">
        <v>16</v>
      </c>
      <c r="D8" s="7">
        <v>0</v>
      </c>
      <c r="E8" s="5">
        <v>734</v>
      </c>
      <c r="F8" s="6" t="s">
        <v>16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2" si="3">K8</f>
        <v>1041.5</v>
      </c>
      <c r="Q8" s="47">
        <f t="shared" si="2"/>
        <v>0</v>
      </c>
      <c r="R8" s="17"/>
      <c r="S8" s="16">
        <v>569.6</v>
      </c>
      <c r="U8" s="5">
        <v>733</v>
      </c>
      <c r="V8" s="6" t="s">
        <v>16</v>
      </c>
      <c r="W8" s="7">
        <v>0</v>
      </c>
      <c r="X8" s="5">
        <v>734</v>
      </c>
      <c r="Y8" s="6" t="s">
        <v>16</v>
      </c>
      <c r="Z8" s="7">
        <v>0</v>
      </c>
      <c r="AA8" s="16">
        <f t="shared" ref="AA8:AA10" si="4">S8</f>
        <v>569.6</v>
      </c>
    </row>
    <row r="9" spans="1:27" x14ac:dyDescent="0.25">
      <c r="A9" s="4" t="s">
        <v>17</v>
      </c>
      <c r="B9" s="5">
        <v>734</v>
      </c>
      <c r="C9" s="6" t="s">
        <v>16</v>
      </c>
      <c r="D9" s="7">
        <v>0</v>
      </c>
      <c r="E9" s="5">
        <v>735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f t="shared" si="1"/>
        <v>10181.799999999999</v>
      </c>
      <c r="O9" s="16">
        <v>0</v>
      </c>
      <c r="P9" s="16">
        <f t="shared" si="3"/>
        <v>10181.799999999999</v>
      </c>
      <c r="Q9" s="47">
        <f>(O9/M9)*1</f>
        <v>0</v>
      </c>
      <c r="R9" s="17"/>
      <c r="S9" s="16">
        <v>1311.5</v>
      </c>
      <c r="U9" s="5">
        <v>734</v>
      </c>
      <c r="V9" s="6" t="s">
        <v>16</v>
      </c>
      <c r="W9" s="7">
        <v>0</v>
      </c>
      <c r="X9" s="5">
        <v>735</v>
      </c>
      <c r="Y9" s="6" t="s">
        <v>16</v>
      </c>
      <c r="Z9" s="7">
        <v>0</v>
      </c>
      <c r="AA9" s="16">
        <f t="shared" si="4"/>
        <v>1311.5</v>
      </c>
    </row>
    <row r="10" spans="1:27" x14ac:dyDescent="0.25">
      <c r="A10" s="4" t="s">
        <v>17</v>
      </c>
      <c r="B10" s="5">
        <v>735</v>
      </c>
      <c r="C10" s="6" t="s">
        <v>16</v>
      </c>
      <c r="D10" s="7">
        <v>0</v>
      </c>
      <c r="E10" s="5">
        <v>736</v>
      </c>
      <c r="F10" s="6" t="s">
        <v>16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f>(K10+L10)</f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297.2</v>
      </c>
      <c r="U10" s="5">
        <v>735</v>
      </c>
      <c r="V10" s="6" t="s">
        <v>16</v>
      </c>
      <c r="W10" s="7">
        <v>0</v>
      </c>
      <c r="X10" s="5">
        <v>736</v>
      </c>
      <c r="Y10" s="6" t="s">
        <v>16</v>
      </c>
      <c r="Z10" s="7">
        <v>0</v>
      </c>
      <c r="AA10" s="16">
        <f t="shared" si="4"/>
        <v>297.2</v>
      </c>
    </row>
    <row r="11" spans="1:27" ht="15.75" thickBot="1" x14ac:dyDescent="0.3">
      <c r="A11" s="130" t="s">
        <v>17</v>
      </c>
      <c r="B11" s="131">
        <v>736</v>
      </c>
      <c r="C11" s="132" t="s">
        <v>16</v>
      </c>
      <c r="D11" s="133">
        <v>0</v>
      </c>
      <c r="E11" s="131">
        <v>736</v>
      </c>
      <c r="F11" s="132" t="s">
        <v>16</v>
      </c>
      <c r="G11" s="133">
        <v>380</v>
      </c>
      <c r="H11" s="134">
        <f t="shared" ref="H11" si="5">(E11*1000+G11)-(B11*1000+D11)</f>
        <v>380</v>
      </c>
      <c r="I11" s="135"/>
      <c r="J11" s="135"/>
      <c r="K11" s="136"/>
      <c r="L11" s="136">
        <v>0</v>
      </c>
      <c r="M11" s="136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8396.7999999999993</v>
      </c>
      <c r="U11" s="131">
        <v>736</v>
      </c>
      <c r="V11" s="132" t="s">
        <v>16</v>
      </c>
      <c r="W11" s="133">
        <v>0</v>
      </c>
      <c r="X11" s="131">
        <v>736</v>
      </c>
      <c r="Y11" s="132" t="s">
        <v>16</v>
      </c>
      <c r="Z11" s="133">
        <v>380</v>
      </c>
      <c r="AA11" s="175">
        <v>8396.7999999999993</v>
      </c>
    </row>
    <row r="12" spans="1:27" ht="15.75" thickBot="1" x14ac:dyDescent="0.3">
      <c r="A12" s="4" t="s">
        <v>74</v>
      </c>
      <c r="B12" s="5">
        <v>732</v>
      </c>
      <c r="C12" s="6" t="s">
        <v>16</v>
      </c>
      <c r="D12" s="7">
        <v>0</v>
      </c>
      <c r="E12" s="5">
        <v>733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f t="shared" si="1"/>
        <v>11152.5</v>
      </c>
      <c r="O12" s="16">
        <v>0</v>
      </c>
      <c r="P12" s="16">
        <f t="shared" si="3"/>
        <v>11152.5</v>
      </c>
      <c r="Q12" s="47">
        <f t="shared" si="2"/>
        <v>0</v>
      </c>
      <c r="R12" s="17"/>
      <c r="S12" s="16">
        <v>11029.7</v>
      </c>
      <c r="AA12" s="13">
        <f>SUM(AA7:AA11)</f>
        <v>11334.8</v>
      </c>
    </row>
    <row r="13" spans="1:27" ht="15.75" thickBot="1" x14ac:dyDescent="0.3">
      <c r="A13" s="4" t="s">
        <v>74</v>
      </c>
      <c r="B13" s="5">
        <v>733</v>
      </c>
      <c r="C13" s="6" t="s">
        <v>16</v>
      </c>
      <c r="D13" s="7">
        <v>0</v>
      </c>
      <c r="E13" s="5">
        <v>734</v>
      </c>
      <c r="F13" s="6" t="s">
        <v>16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v>11949.9</v>
      </c>
      <c r="Q13" s="47">
        <f t="shared" si="2"/>
        <v>0</v>
      </c>
      <c r="R13" s="17"/>
      <c r="S13" s="16">
        <v>10292</v>
      </c>
    </row>
    <row r="14" spans="1:27" ht="15" customHeight="1" thickBot="1" x14ac:dyDescent="0.3">
      <c r="A14" s="4" t="s">
        <v>74</v>
      </c>
      <c r="B14" s="5">
        <v>734</v>
      </c>
      <c r="C14" s="6" t="s">
        <v>16</v>
      </c>
      <c r="D14" s="7">
        <v>0</v>
      </c>
      <c r="E14" s="5">
        <v>734</v>
      </c>
      <c r="F14" s="6" t="s">
        <v>16</v>
      </c>
      <c r="G14" s="7">
        <v>220</v>
      </c>
      <c r="H14" s="8">
        <f t="shared" ref="H14" si="6">(E14*1000+G14)-(B14*1000+D14)</f>
        <v>220</v>
      </c>
      <c r="I14" s="9"/>
      <c r="J14" s="9"/>
      <c r="K14" s="16">
        <v>3186.1</v>
      </c>
      <c r="L14" s="16">
        <v>0</v>
      </c>
      <c r="M14" s="17">
        <f t="shared" ref="M14" si="7">(K14+L14)</f>
        <v>3186.1</v>
      </c>
      <c r="O14" s="16">
        <v>0</v>
      </c>
      <c r="P14" s="16">
        <f t="shared" ref="P14" si="8">K14</f>
        <v>3186.1</v>
      </c>
      <c r="Q14" s="47">
        <f t="shared" ref="Q14" si="9">(O14/M14)*1</f>
        <v>0</v>
      </c>
      <c r="R14" s="17"/>
      <c r="S14" s="16">
        <v>3186.1</v>
      </c>
      <c r="U14" s="224" t="s">
        <v>95</v>
      </c>
      <c r="V14" s="225"/>
      <c r="W14" s="225"/>
      <c r="X14" s="225"/>
      <c r="Y14" s="225"/>
      <c r="Z14" s="225"/>
      <c r="AA14" s="226"/>
    </row>
    <row r="15" spans="1:27" ht="15.75" thickBot="1" x14ac:dyDescent="0.3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35842.6</v>
      </c>
      <c r="U15" s="172"/>
      <c r="V15" s="173"/>
      <c r="W15" s="173"/>
      <c r="X15" s="173"/>
      <c r="Y15" s="173"/>
      <c r="Z15" s="173"/>
      <c r="AA15" s="174"/>
    </row>
    <row r="16" spans="1:27" ht="15.75" thickBot="1" x14ac:dyDescent="0.3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16</v>
      </c>
      <c r="W16" s="7">
        <v>0</v>
      </c>
      <c r="X16" s="5">
        <v>733</v>
      </c>
      <c r="Y16" s="6" t="s">
        <v>16</v>
      </c>
      <c r="Z16" s="7">
        <v>0</v>
      </c>
      <c r="AA16" s="26">
        <f>S12</f>
        <v>11029.7</v>
      </c>
    </row>
    <row r="17" spans="1:27" ht="15.75" thickBot="1" x14ac:dyDescent="0.3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16</v>
      </c>
      <c r="W17" s="7">
        <v>0</v>
      </c>
      <c r="X17" s="5">
        <v>734</v>
      </c>
      <c r="Y17" s="6" t="s">
        <v>16</v>
      </c>
      <c r="Z17" s="7">
        <v>0</v>
      </c>
      <c r="AA17" s="26">
        <f t="shared" ref="AA17:AA18" si="10">S13</f>
        <v>10292</v>
      </c>
    </row>
    <row r="18" spans="1:27" ht="15.75" thickBot="1" x14ac:dyDescent="0.3">
      <c r="U18" s="5">
        <v>734</v>
      </c>
      <c r="V18" s="6" t="s">
        <v>16</v>
      </c>
      <c r="W18" s="7">
        <v>0</v>
      </c>
      <c r="X18" s="5">
        <v>734</v>
      </c>
      <c r="Y18" s="6" t="s">
        <v>16</v>
      </c>
      <c r="Z18" s="7">
        <v>220</v>
      </c>
      <c r="AA18" s="26">
        <f t="shared" si="10"/>
        <v>3186.1</v>
      </c>
    </row>
    <row r="19" spans="1:27" ht="15.75" thickBot="1" x14ac:dyDescent="0.3">
      <c r="AA19" s="13">
        <f>SUM(AA16:AA18)</f>
        <v>24507.8</v>
      </c>
    </row>
    <row r="20" spans="1:27" x14ac:dyDescent="0.25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topLeftCell="D3" workbookViewId="0">
      <selection activeCell="M8" sqref="M8:M17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  <col min="16" max="16" width="5.5703125" customWidth="1"/>
    <col min="17" max="17" width="11.7109375" customWidth="1"/>
    <col min="18" max="18" width="2" customWidth="1"/>
    <col min="19" max="19" width="7.28515625" customWidth="1"/>
    <col min="20" max="20" width="7.7109375" customWidth="1"/>
    <col min="21" max="21" width="3" customWidth="1"/>
    <col min="22" max="22" width="6.5703125" style="40" customWidth="1"/>
    <col min="23" max="23" width="11.5703125" style="40" customWidth="1"/>
    <col min="25" max="25" width="10" bestFit="1" customWidth="1"/>
  </cols>
  <sheetData>
    <row r="1" spans="1:23" ht="16.5" x14ac:dyDescent="0.25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7"/>
    </row>
    <row r="2" spans="1:23" x14ac:dyDescent="0.25">
      <c r="A2" s="1" t="s">
        <v>20</v>
      </c>
      <c r="B2" s="238" t="s">
        <v>1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40"/>
      <c r="N2" s="102" t="s">
        <v>88</v>
      </c>
      <c r="O2" s="103">
        <f>'SEGMENTO-01'!S2</f>
        <v>46235</v>
      </c>
      <c r="P2" s="149"/>
      <c r="Q2" s="149"/>
      <c r="R2" s="149"/>
      <c r="S2" s="149"/>
      <c r="T2" s="149"/>
      <c r="U2" s="149"/>
    </row>
    <row r="3" spans="1:23" x14ac:dyDescent="0.25">
      <c r="A3" s="207" t="s">
        <v>2</v>
      </c>
      <c r="B3" s="208" t="s">
        <v>3</v>
      </c>
      <c r="C3" s="209"/>
      <c r="D3" s="209"/>
      <c r="E3" s="209"/>
      <c r="F3" s="209"/>
      <c r="G3" s="210"/>
      <c r="H3" s="214" t="s">
        <v>4</v>
      </c>
      <c r="I3" s="221"/>
      <c r="J3" s="221"/>
      <c r="K3" s="221"/>
      <c r="L3" s="221"/>
      <c r="M3" s="222"/>
      <c r="N3" s="228" t="s">
        <v>92</v>
      </c>
      <c r="O3" s="229"/>
      <c r="P3" s="40"/>
      <c r="Q3" s="40"/>
      <c r="R3" s="40"/>
      <c r="S3" s="40"/>
      <c r="T3" s="40"/>
      <c r="U3" s="40"/>
    </row>
    <row r="4" spans="1:23" ht="15.75" thickBot="1" x14ac:dyDescent="0.3">
      <c r="A4" s="207"/>
      <c r="B4" s="211"/>
      <c r="C4" s="212"/>
      <c r="D4" s="212"/>
      <c r="E4" s="212"/>
      <c r="F4" s="212"/>
      <c r="G4" s="213"/>
      <c r="H4" s="214"/>
      <c r="I4" s="72"/>
      <c r="J4" s="219" t="s">
        <v>7</v>
      </c>
      <c r="K4" s="221"/>
      <c r="L4" s="221"/>
      <c r="M4" s="222"/>
      <c r="N4" s="2" t="s">
        <v>79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">
      <c r="A5" s="207"/>
      <c r="B5" s="223" t="s">
        <v>8</v>
      </c>
      <c r="C5" s="223"/>
      <c r="D5" s="223"/>
      <c r="E5" s="223" t="s">
        <v>9</v>
      </c>
      <c r="F5" s="223"/>
      <c r="G5" s="223"/>
      <c r="H5" s="215"/>
      <c r="I5" s="18" t="s">
        <v>11</v>
      </c>
      <c r="J5" s="18" t="s">
        <v>12</v>
      </c>
      <c r="K5" s="18" t="s">
        <v>13</v>
      </c>
      <c r="L5" s="18" t="s">
        <v>14</v>
      </c>
      <c r="M5" s="19" t="s">
        <v>71</v>
      </c>
      <c r="N5" s="2" t="s">
        <v>82</v>
      </c>
      <c r="O5" s="3" t="s">
        <v>80</v>
      </c>
      <c r="P5" s="151"/>
      <c r="Q5" s="241" t="s">
        <v>93</v>
      </c>
      <c r="R5" s="242"/>
      <c r="S5" s="242"/>
      <c r="T5" s="242"/>
      <c r="U5" s="242"/>
      <c r="V5" s="242"/>
      <c r="W5" s="243"/>
    </row>
    <row r="6" spans="1:23" ht="15.75" thickBot="1" x14ac:dyDescent="0.3">
      <c r="A6" s="244" t="s">
        <v>15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6"/>
      <c r="N6" s="244"/>
      <c r="O6" s="245"/>
      <c r="P6" s="162"/>
      <c r="Q6" s="163"/>
      <c r="R6" s="164"/>
      <c r="S6" s="164"/>
      <c r="T6" s="164"/>
      <c r="U6" s="164"/>
      <c r="V6" s="154"/>
      <c r="W6" s="160"/>
    </row>
    <row r="7" spans="1:23" x14ac:dyDescent="0.25">
      <c r="A7" s="140" t="s">
        <v>17</v>
      </c>
      <c r="B7" s="141">
        <v>736</v>
      </c>
      <c r="C7" s="142" t="s">
        <v>16</v>
      </c>
      <c r="D7" s="143">
        <v>0</v>
      </c>
      <c r="E7" s="141">
        <v>736</v>
      </c>
      <c r="F7" s="142" t="s">
        <v>16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48">
        <f>27292.1-O8</f>
        <v>8396.7999999999993</v>
      </c>
      <c r="P7" s="166"/>
      <c r="Q7" s="167">
        <v>736</v>
      </c>
      <c r="R7" s="165" t="s">
        <v>16</v>
      </c>
      <c r="S7" s="165">
        <v>0</v>
      </c>
      <c r="T7" s="169">
        <v>736</v>
      </c>
      <c r="U7" s="165" t="s">
        <v>16</v>
      </c>
      <c r="V7" s="153">
        <v>380</v>
      </c>
      <c r="W7" s="160"/>
    </row>
    <row r="8" spans="1:23" x14ac:dyDescent="0.25">
      <c r="A8" s="20" t="s">
        <v>17</v>
      </c>
      <c r="B8" s="21">
        <v>736</v>
      </c>
      <c r="C8" s="22" t="s">
        <v>16</v>
      </c>
      <c r="D8" s="23">
        <v>640</v>
      </c>
      <c r="E8" s="21">
        <v>737</v>
      </c>
      <c r="F8" s="22" t="s">
        <v>16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J8+K8+L8-8396.8</f>
        <v>24234.199999999997</v>
      </c>
      <c r="N8" s="26">
        <f>M8-O8</f>
        <v>5338.8999999999978</v>
      </c>
      <c r="O8" s="27">
        <v>18895.3</v>
      </c>
      <c r="P8" s="100"/>
      <c r="Q8" s="168">
        <v>736</v>
      </c>
      <c r="R8" s="153" t="s">
        <v>16</v>
      </c>
      <c r="S8" s="153">
        <v>640</v>
      </c>
      <c r="T8" s="170">
        <v>737</v>
      </c>
      <c r="U8" s="153" t="s">
        <v>16</v>
      </c>
      <c r="V8" s="153">
        <v>0</v>
      </c>
      <c r="W8" s="155">
        <v>18895.3</v>
      </c>
    </row>
    <row r="9" spans="1:23" x14ac:dyDescent="0.25">
      <c r="A9" s="4" t="s">
        <v>17</v>
      </c>
      <c r="B9" s="21">
        <v>737</v>
      </c>
      <c r="C9" s="6" t="s">
        <v>16</v>
      </c>
      <c r="D9" s="7">
        <v>0</v>
      </c>
      <c r="E9" s="21">
        <v>738</v>
      </c>
      <c r="F9" s="6" t="s">
        <v>16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8">
        <v>737</v>
      </c>
      <c r="R9" s="153" t="s">
        <v>16</v>
      </c>
      <c r="S9" s="153">
        <v>0</v>
      </c>
      <c r="T9" s="170">
        <v>738</v>
      </c>
      <c r="U9" s="153" t="s">
        <v>16</v>
      </c>
      <c r="V9" s="153">
        <v>0</v>
      </c>
      <c r="W9" s="161">
        <f>O9</f>
        <v>0</v>
      </c>
    </row>
    <row r="10" spans="1:23" x14ac:dyDescent="0.25">
      <c r="A10" s="4" t="s">
        <v>17</v>
      </c>
      <c r="B10" s="21">
        <v>738</v>
      </c>
      <c r="C10" s="6" t="s">
        <v>16</v>
      </c>
      <c r="D10" s="7">
        <v>0</v>
      </c>
      <c r="E10" s="21">
        <v>739</v>
      </c>
      <c r="F10" s="6" t="s">
        <v>16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2">J10+K10+L10</f>
        <v>20005.2</v>
      </c>
      <c r="N10" s="26">
        <f>M10-O10</f>
        <v>19699</v>
      </c>
      <c r="O10" s="27">
        <v>306.2</v>
      </c>
      <c r="P10" s="100"/>
      <c r="Q10" s="168">
        <v>738</v>
      </c>
      <c r="R10" s="153" t="s">
        <v>16</v>
      </c>
      <c r="S10" s="153">
        <v>0</v>
      </c>
      <c r="T10" s="170">
        <v>739</v>
      </c>
      <c r="U10" s="153" t="s">
        <v>16</v>
      </c>
      <c r="V10" s="153">
        <v>0</v>
      </c>
      <c r="W10" s="161">
        <f t="shared" ref="W10:W17" si="3">O10</f>
        <v>306.2</v>
      </c>
    </row>
    <row r="11" spans="1:23" x14ac:dyDescent="0.25">
      <c r="A11" s="4" t="s">
        <v>17</v>
      </c>
      <c r="B11" s="21">
        <v>739</v>
      </c>
      <c r="C11" s="6" t="s">
        <v>16</v>
      </c>
      <c r="D11" s="7">
        <v>0</v>
      </c>
      <c r="E11" s="21">
        <v>740</v>
      </c>
      <c r="F11" s="6" t="s">
        <v>16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2"/>
        <v>17427.3</v>
      </c>
      <c r="N11" s="26">
        <f>M11-O11</f>
        <v>17136.5</v>
      </c>
      <c r="O11" s="27">
        <v>290.8</v>
      </c>
      <c r="P11" s="100"/>
      <c r="Q11" s="168">
        <v>739</v>
      </c>
      <c r="R11" s="153" t="s">
        <v>16</v>
      </c>
      <c r="S11" s="153">
        <v>0</v>
      </c>
      <c r="T11" s="170">
        <v>740</v>
      </c>
      <c r="U11" s="153" t="s">
        <v>16</v>
      </c>
      <c r="V11" s="153">
        <v>0</v>
      </c>
      <c r="W11" s="161">
        <f t="shared" si="3"/>
        <v>290.8</v>
      </c>
    </row>
    <row r="12" spans="1:23" x14ac:dyDescent="0.25">
      <c r="A12" s="4" t="s">
        <v>17</v>
      </c>
      <c r="B12" s="21">
        <v>740</v>
      </c>
      <c r="C12" s="6" t="s">
        <v>16</v>
      </c>
      <c r="D12" s="7">
        <v>0</v>
      </c>
      <c r="E12" s="21">
        <v>741</v>
      </c>
      <c r="F12" s="6" t="s">
        <v>16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2"/>
        <v>9767.4</v>
      </c>
      <c r="N12" s="26">
        <f t="shared" ref="N12:N17" si="4">M12-O12</f>
        <v>8356.1999999999989</v>
      </c>
      <c r="O12" s="27">
        <v>1411.2</v>
      </c>
      <c r="P12" s="100"/>
      <c r="Q12" s="168">
        <v>740</v>
      </c>
      <c r="R12" s="153" t="s">
        <v>16</v>
      </c>
      <c r="S12" s="153">
        <v>0</v>
      </c>
      <c r="T12" s="170">
        <v>741</v>
      </c>
      <c r="U12" s="153" t="s">
        <v>16</v>
      </c>
      <c r="V12" s="153">
        <v>0</v>
      </c>
      <c r="W12" s="161">
        <f t="shared" si="3"/>
        <v>1411.2</v>
      </c>
    </row>
    <row r="13" spans="1:23" x14ac:dyDescent="0.25">
      <c r="A13" s="4" t="s">
        <v>17</v>
      </c>
      <c r="B13" s="21">
        <v>741</v>
      </c>
      <c r="C13" s="6" t="s">
        <v>16</v>
      </c>
      <c r="D13" s="7">
        <v>0</v>
      </c>
      <c r="E13" s="21">
        <v>742</v>
      </c>
      <c r="F13" s="6" t="s">
        <v>16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2"/>
        <v>8687.7000000000007</v>
      </c>
      <c r="N13" s="26">
        <f t="shared" si="4"/>
        <v>3100.4000000000005</v>
      </c>
      <c r="O13" s="27">
        <v>5587.3</v>
      </c>
      <c r="P13" s="100"/>
      <c r="Q13" s="168">
        <v>741</v>
      </c>
      <c r="R13" s="153" t="s">
        <v>16</v>
      </c>
      <c r="S13" s="153">
        <v>0</v>
      </c>
      <c r="T13" s="170">
        <v>742</v>
      </c>
      <c r="U13" s="153" t="s">
        <v>16</v>
      </c>
      <c r="V13" s="153">
        <v>0</v>
      </c>
      <c r="W13" s="161">
        <f t="shared" si="3"/>
        <v>5587.3</v>
      </c>
    </row>
    <row r="14" spans="1:23" x14ac:dyDescent="0.25">
      <c r="A14" s="4" t="s">
        <v>17</v>
      </c>
      <c r="B14" s="21">
        <v>742</v>
      </c>
      <c r="C14" s="6" t="s">
        <v>16</v>
      </c>
      <c r="D14" s="7">
        <v>0</v>
      </c>
      <c r="E14" s="21">
        <v>743</v>
      </c>
      <c r="F14" s="6" t="s">
        <v>16</v>
      </c>
      <c r="G14" s="23">
        <v>0</v>
      </c>
      <c r="H14" s="8">
        <f t="shared" ref="H14:H17" si="5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2"/>
        <v>9071.4</v>
      </c>
      <c r="N14" s="26">
        <f t="shared" si="4"/>
        <v>5746.6399999999994</v>
      </c>
      <c r="O14" s="27">
        <v>3324.7599999999998</v>
      </c>
      <c r="P14" s="100"/>
      <c r="Q14" s="168">
        <v>742</v>
      </c>
      <c r="R14" s="153" t="s">
        <v>16</v>
      </c>
      <c r="S14" s="153">
        <v>0</v>
      </c>
      <c r="T14" s="170">
        <v>743</v>
      </c>
      <c r="U14" s="153" t="s">
        <v>16</v>
      </c>
      <c r="V14" s="153">
        <v>0</v>
      </c>
      <c r="W14" s="161">
        <f t="shared" si="3"/>
        <v>3324.7599999999998</v>
      </c>
    </row>
    <row r="15" spans="1:23" ht="15.75" customHeight="1" x14ac:dyDescent="0.25">
      <c r="A15" s="4" t="s">
        <v>17</v>
      </c>
      <c r="B15" s="21">
        <v>743</v>
      </c>
      <c r="C15" s="6" t="s">
        <v>16</v>
      </c>
      <c r="D15" s="7">
        <v>0</v>
      </c>
      <c r="E15" s="21">
        <v>744</v>
      </c>
      <c r="F15" s="6" t="s">
        <v>16</v>
      </c>
      <c r="G15" s="23">
        <v>0</v>
      </c>
      <c r="H15" s="8">
        <f t="shared" si="5"/>
        <v>1000</v>
      </c>
      <c r="I15" s="9"/>
      <c r="J15" s="16">
        <v>20284</v>
      </c>
      <c r="K15" s="9">
        <v>0</v>
      </c>
      <c r="L15" s="26">
        <v>304.3</v>
      </c>
      <c r="M15" s="27">
        <f t="shared" si="2"/>
        <v>20588.3</v>
      </c>
      <c r="N15" s="26">
        <f t="shared" si="4"/>
        <v>6701.6999999999989</v>
      </c>
      <c r="O15" s="27">
        <v>13886.6</v>
      </c>
      <c r="P15" s="100"/>
      <c r="Q15" s="168">
        <v>743</v>
      </c>
      <c r="R15" s="153" t="s">
        <v>16</v>
      </c>
      <c r="S15" s="153">
        <v>0</v>
      </c>
      <c r="T15" s="170">
        <v>744</v>
      </c>
      <c r="U15" s="153" t="s">
        <v>16</v>
      </c>
      <c r="V15" s="153">
        <v>0</v>
      </c>
      <c r="W15" s="161">
        <f t="shared" si="3"/>
        <v>13886.6</v>
      </c>
    </row>
    <row r="16" spans="1:23" ht="15.75" customHeight="1" x14ac:dyDescent="0.25">
      <c r="A16" s="4" t="s">
        <v>17</v>
      </c>
      <c r="B16" s="21">
        <v>744</v>
      </c>
      <c r="C16" s="6" t="s">
        <v>16</v>
      </c>
      <c r="D16" s="7">
        <v>0</v>
      </c>
      <c r="E16" s="21">
        <v>745</v>
      </c>
      <c r="F16" s="6" t="s">
        <v>16</v>
      </c>
      <c r="G16" s="23">
        <v>0</v>
      </c>
      <c r="H16" s="8">
        <f t="shared" ref="H16" si="6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2"/>
        <v>10231.6</v>
      </c>
      <c r="N16" s="26">
        <f t="shared" si="4"/>
        <v>0</v>
      </c>
      <c r="O16" s="27">
        <v>10231.6</v>
      </c>
      <c r="P16" s="100"/>
      <c r="Q16" s="168">
        <v>744</v>
      </c>
      <c r="R16" s="153" t="s">
        <v>16</v>
      </c>
      <c r="S16" s="153">
        <v>0</v>
      </c>
      <c r="T16" s="170">
        <v>745</v>
      </c>
      <c r="U16" s="153" t="s">
        <v>16</v>
      </c>
      <c r="V16" s="153">
        <v>0</v>
      </c>
      <c r="W16" s="161">
        <f t="shared" si="3"/>
        <v>10231.6</v>
      </c>
    </row>
    <row r="17" spans="1:25" ht="15.75" thickBot="1" x14ac:dyDescent="0.3">
      <c r="A17" s="4" t="s">
        <v>17</v>
      </c>
      <c r="B17" s="21">
        <v>745</v>
      </c>
      <c r="C17" s="6" t="s">
        <v>16</v>
      </c>
      <c r="D17" s="7">
        <v>515</v>
      </c>
      <c r="E17" s="21">
        <v>746</v>
      </c>
      <c r="F17" s="6" t="s">
        <v>16</v>
      </c>
      <c r="G17" s="23">
        <v>0</v>
      </c>
      <c r="H17" s="8">
        <f t="shared" si="5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2"/>
        <v>8337.2000000000007</v>
      </c>
      <c r="N17" s="26">
        <f t="shared" si="4"/>
        <v>0</v>
      </c>
      <c r="O17" s="27">
        <v>8337.2000000000007</v>
      </c>
      <c r="P17" s="100"/>
      <c r="Q17" s="168">
        <v>745</v>
      </c>
      <c r="R17" s="153" t="s">
        <v>16</v>
      </c>
      <c r="S17" s="153">
        <v>515</v>
      </c>
      <c r="T17" s="170">
        <v>746</v>
      </c>
      <c r="U17" s="153" t="s">
        <v>16</v>
      </c>
      <c r="V17" s="153">
        <v>0</v>
      </c>
      <c r="W17" s="161">
        <f t="shared" si="3"/>
        <v>8337.2000000000007</v>
      </c>
    </row>
    <row r="18" spans="1:25" ht="15.75" thickBot="1" x14ac:dyDescent="0.3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 t="shared" ref="J18:L18" si="7">SUM(J8:J17)</f>
        <v>108924.29999999999</v>
      </c>
      <c r="K18" s="13">
        <f t="shared" si="7"/>
        <v>0</v>
      </c>
      <c r="L18" s="13">
        <f t="shared" si="7"/>
        <v>36903.599999999999</v>
      </c>
      <c r="M18" s="13">
        <f>SUM(M8:M17)</f>
        <v>137431.1</v>
      </c>
      <c r="N18" s="13"/>
      <c r="O18" s="13">
        <f>SUM(O8:O17)</f>
        <v>62270.959999999992</v>
      </c>
      <c r="P18" s="152"/>
      <c r="Q18" s="156"/>
      <c r="R18" s="157"/>
      <c r="S18" s="157"/>
      <c r="T18" s="157"/>
      <c r="U18" s="157"/>
      <c r="V18" s="158"/>
      <c r="W18" s="159">
        <f>SUM(W8:W17)</f>
        <v>62270.959999999992</v>
      </c>
      <c r="Y18" s="39"/>
    </row>
    <row r="19" spans="1:25" ht="15.75" thickBot="1" x14ac:dyDescent="0.3">
      <c r="A19" s="198" t="s">
        <v>21</v>
      </c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200"/>
    </row>
    <row r="20" spans="1:25" x14ac:dyDescent="0.25">
      <c r="A20" s="30" t="s">
        <v>22</v>
      </c>
      <c r="B20" s="15">
        <v>0</v>
      </c>
      <c r="C20" s="15" t="s">
        <v>16</v>
      </c>
      <c r="D20" s="28">
        <v>0</v>
      </c>
      <c r="E20" s="15">
        <v>0</v>
      </c>
      <c r="F20" s="15" t="s">
        <v>16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25">
      <c r="A21" s="30" t="s">
        <v>23</v>
      </c>
      <c r="B21" s="15">
        <v>0</v>
      </c>
      <c r="C21" s="15" t="s">
        <v>16</v>
      </c>
      <c r="D21" s="28">
        <v>0</v>
      </c>
      <c r="E21" s="15">
        <v>0</v>
      </c>
      <c r="F21" s="15" t="s">
        <v>16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8">(J21+K21+L21)</f>
        <v>208.48066999999998</v>
      </c>
    </row>
    <row r="22" spans="1:25" x14ac:dyDescent="0.25">
      <c r="A22" s="30" t="s">
        <v>24</v>
      </c>
      <c r="B22" s="15">
        <v>0</v>
      </c>
      <c r="C22" s="15" t="s">
        <v>16</v>
      </c>
      <c r="D22" s="28">
        <v>0</v>
      </c>
      <c r="E22" s="15">
        <v>0</v>
      </c>
      <c r="F22" s="15" t="s">
        <v>16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8"/>
        <v>418.44870500000002</v>
      </c>
    </row>
    <row r="23" spans="1:25" x14ac:dyDescent="0.25">
      <c r="A23" s="30" t="s">
        <v>25</v>
      </c>
      <c r="B23" s="15">
        <v>0</v>
      </c>
      <c r="C23" s="15" t="s">
        <v>16</v>
      </c>
      <c r="D23" s="28">
        <v>0</v>
      </c>
      <c r="E23" s="15">
        <v>0</v>
      </c>
      <c r="F23" s="15" t="s">
        <v>16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27">
        <f t="shared" si="8"/>
        <v>517.43241999999998</v>
      </c>
    </row>
    <row r="24" spans="1:25" ht="15.75" thickBot="1" x14ac:dyDescent="0.3">
      <c r="A24" s="31" t="str">
        <f>"TOTAL- ACESSOS"</f>
        <v>TOTAL- ACESSOS</v>
      </c>
      <c r="B24" s="32"/>
      <c r="C24" s="32"/>
      <c r="D24" s="32"/>
      <c r="E24" s="32"/>
      <c r="F24" s="32"/>
      <c r="G24" s="32"/>
      <c r="H24" s="33"/>
      <c r="I24" s="34">
        <f t="shared" ref="I24:L24" si="9">SUM(I20:I23)</f>
        <v>0</v>
      </c>
      <c r="J24" s="34">
        <f t="shared" si="9"/>
        <v>850.34855500000003</v>
      </c>
      <c r="K24" s="34">
        <f t="shared" si="9"/>
        <v>0</v>
      </c>
      <c r="L24" s="34">
        <f t="shared" si="9"/>
        <v>479.64834499999995</v>
      </c>
      <c r="M24" s="34">
        <f>SUM(M20:M23)</f>
        <v>1329.9969000000001</v>
      </c>
      <c r="O24" s="39">
        <f>M24</f>
        <v>1329.9969000000001</v>
      </c>
    </row>
    <row r="25" spans="1:25" ht="15.75" thickBot="1" x14ac:dyDescent="0.3">
      <c r="A25" s="11" t="s">
        <v>18</v>
      </c>
      <c r="B25" s="12"/>
      <c r="C25" s="12"/>
      <c r="D25" s="12"/>
      <c r="E25" s="12"/>
      <c r="F25" s="12"/>
      <c r="G25" s="12"/>
      <c r="H25" s="13"/>
      <c r="I25" s="14">
        <f t="shared" ref="I25:L25" si="10">I18+I24</f>
        <v>0</v>
      </c>
      <c r="J25" s="14">
        <f t="shared" si="10"/>
        <v>109774.64855499999</v>
      </c>
      <c r="K25" s="14">
        <f t="shared" si="10"/>
        <v>0</v>
      </c>
      <c r="L25" s="14">
        <f t="shared" si="10"/>
        <v>37383.248345</v>
      </c>
      <c r="M25" s="14">
        <f>M18+M24</f>
        <v>138761.0969</v>
      </c>
      <c r="O25" s="39">
        <f>O18+O24</f>
        <v>63600.95689999999</v>
      </c>
    </row>
    <row r="29" spans="1:25" x14ac:dyDescent="0.25">
      <c r="B29" s="21"/>
      <c r="C29" s="22"/>
      <c r="D29" s="23"/>
      <c r="E29" s="21"/>
      <c r="F29" s="22"/>
      <c r="G29" s="23"/>
      <c r="H29" s="100"/>
      <c r="K29" s="94"/>
    </row>
    <row r="30" spans="1:25" x14ac:dyDescent="0.25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25">
      <c r="B31" s="21"/>
      <c r="C31" s="6"/>
      <c r="D31" s="7"/>
      <c r="E31" s="21"/>
      <c r="F31" s="6"/>
      <c r="G31" s="23"/>
      <c r="H31" s="15"/>
      <c r="K31" s="94"/>
    </row>
    <row r="32" spans="1:25" x14ac:dyDescent="0.25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25">
      <c r="B37" s="21"/>
      <c r="C37" s="6"/>
      <c r="D37" s="7"/>
      <c r="E37" s="21"/>
      <c r="F37" s="6"/>
      <c r="G37" s="23"/>
      <c r="H37" s="15"/>
      <c r="K37" s="94"/>
    </row>
    <row r="38" spans="2:11" x14ac:dyDescent="0.25">
      <c r="B38" s="21"/>
      <c r="C38" s="6"/>
      <c r="D38" s="23"/>
      <c r="E38" s="101"/>
      <c r="F38" s="6"/>
      <c r="G38" s="23"/>
      <c r="H38" s="15"/>
      <c r="K38" s="94"/>
    </row>
    <row r="39" spans="2:11" x14ac:dyDescent="0.25">
      <c r="K39" s="94"/>
    </row>
    <row r="43" spans="2:11" x14ac:dyDescent="0.25">
      <c r="I43">
        <v>7598.6</v>
      </c>
    </row>
    <row r="44" spans="2:11" x14ac:dyDescent="0.25">
      <c r="I44">
        <v>24589.599999999999</v>
      </c>
    </row>
    <row r="45" spans="2:11" x14ac:dyDescent="0.25">
      <c r="I45">
        <f>I44+I43</f>
        <v>32188.199999999997</v>
      </c>
    </row>
  </sheetData>
  <mergeCells count="14">
    <mergeCell ref="Q5:W5"/>
    <mergeCell ref="N3:O3"/>
    <mergeCell ref="N6:O6"/>
    <mergeCell ref="A6:M6"/>
    <mergeCell ref="A19:M19"/>
    <mergeCell ref="A1:M1"/>
    <mergeCell ref="B2:M2"/>
    <mergeCell ref="A3:A5"/>
    <mergeCell ref="B3:G4"/>
    <mergeCell ref="H3:H5"/>
    <mergeCell ref="I3:M3"/>
    <mergeCell ref="J4:M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R42"/>
  <sheetViews>
    <sheetView topLeftCell="C22" workbookViewId="0">
      <selection activeCell="N39" sqref="N39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1" bestFit="1" customWidth="1"/>
    <col min="9" max="9" width="10.28515625" bestFit="1" customWidth="1"/>
    <col min="10" max="10" width="13.140625" bestFit="1" customWidth="1"/>
    <col min="11" max="11" width="17.140625" bestFit="1" customWidth="1"/>
    <col min="12" max="12" width="16.42578125" bestFit="1" customWidth="1"/>
    <col min="13" max="13" width="18.7109375" bestFit="1" customWidth="1"/>
    <col min="14" max="14" width="14.28515625" bestFit="1" customWidth="1"/>
    <col min="15" max="15" width="14.7109375" bestFit="1" customWidth="1"/>
    <col min="16" max="16" width="15.28515625" customWidth="1"/>
  </cols>
  <sheetData>
    <row r="1" spans="1:16" ht="16.5" x14ac:dyDescent="0.25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7"/>
    </row>
    <row r="2" spans="1:16" x14ac:dyDescent="0.25">
      <c r="A2" s="1" t="s">
        <v>26</v>
      </c>
      <c r="B2" s="238" t="s">
        <v>1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  <c r="O2" s="102" t="s">
        <v>88</v>
      </c>
      <c r="P2" s="103">
        <f>'SEGMENTO-01'!S2</f>
        <v>46235</v>
      </c>
    </row>
    <row r="3" spans="1:16" x14ac:dyDescent="0.25">
      <c r="A3" s="207" t="s">
        <v>2</v>
      </c>
      <c r="B3" s="208" t="s">
        <v>3</v>
      </c>
      <c r="C3" s="209"/>
      <c r="D3" s="209"/>
      <c r="E3" s="209"/>
      <c r="F3" s="209"/>
      <c r="G3" s="210"/>
      <c r="H3" s="214" t="s">
        <v>4</v>
      </c>
      <c r="I3" s="219" t="s">
        <v>5</v>
      </c>
      <c r="J3" s="221"/>
      <c r="K3" s="221"/>
      <c r="L3" s="221"/>
      <c r="M3" s="221"/>
      <c r="N3" s="222"/>
      <c r="O3" s="228" t="s">
        <v>92</v>
      </c>
      <c r="P3" s="229"/>
    </row>
    <row r="4" spans="1:16" ht="15.75" thickBot="1" x14ac:dyDescent="0.3">
      <c r="A4" s="207"/>
      <c r="B4" s="211"/>
      <c r="C4" s="212"/>
      <c r="D4" s="212"/>
      <c r="E4" s="212"/>
      <c r="F4" s="212"/>
      <c r="G4" s="213"/>
      <c r="H4" s="214"/>
      <c r="I4" s="219" t="s">
        <v>6</v>
      </c>
      <c r="J4" s="220"/>
      <c r="K4" s="219" t="s">
        <v>7</v>
      </c>
      <c r="L4" s="221"/>
      <c r="M4" s="221"/>
      <c r="N4" s="222"/>
      <c r="O4" s="2" t="s">
        <v>79</v>
      </c>
      <c r="P4" s="41"/>
    </row>
    <row r="5" spans="1:16" ht="43.5" thickBot="1" x14ac:dyDescent="0.3">
      <c r="A5" s="232"/>
      <c r="B5" s="234" t="s">
        <v>8</v>
      </c>
      <c r="C5" s="234"/>
      <c r="D5" s="234"/>
      <c r="E5" s="234" t="s">
        <v>9</v>
      </c>
      <c r="F5" s="234"/>
      <c r="G5" s="234"/>
      <c r="H5" s="233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  <c r="O5" s="2" t="s">
        <v>82</v>
      </c>
      <c r="P5" s="3" t="s">
        <v>80</v>
      </c>
    </row>
    <row r="6" spans="1:16" x14ac:dyDescent="0.25">
      <c r="A6" s="247" t="s">
        <v>27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9"/>
      <c r="O6" s="104"/>
      <c r="P6" s="104"/>
    </row>
    <row r="7" spans="1:16" x14ac:dyDescent="0.25">
      <c r="A7" s="84" t="s">
        <v>28</v>
      </c>
      <c r="B7" s="85">
        <v>100</v>
      </c>
      <c r="C7" s="86" t="s">
        <v>16</v>
      </c>
      <c r="D7" s="87">
        <v>0</v>
      </c>
      <c r="E7" s="85">
        <v>100</v>
      </c>
      <c r="F7" s="86" t="s">
        <v>16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36236.400000000001</v>
      </c>
    </row>
    <row r="8" spans="1:16" x14ac:dyDescent="0.25">
      <c r="A8" s="84" t="s">
        <v>29</v>
      </c>
      <c r="B8" s="85">
        <v>200</v>
      </c>
      <c r="C8" s="86" t="s">
        <v>16</v>
      </c>
      <c r="D8" s="87">
        <v>0</v>
      </c>
      <c r="E8" s="85">
        <v>200</v>
      </c>
      <c r="F8" s="86" t="s">
        <v>16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658.9</v>
      </c>
    </row>
    <row r="9" spans="1:16" x14ac:dyDescent="0.25">
      <c r="A9" s="84" t="s">
        <v>30</v>
      </c>
      <c r="B9" s="85">
        <v>300</v>
      </c>
      <c r="C9" s="86" t="s">
        <v>16</v>
      </c>
      <c r="D9" s="87">
        <v>0</v>
      </c>
      <c r="E9" s="85">
        <v>300</v>
      </c>
      <c r="F9" s="86" t="s">
        <v>16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25">
      <c r="A10" s="84" t="s">
        <v>31</v>
      </c>
      <c r="B10" s="85">
        <v>0</v>
      </c>
      <c r="C10" s="86" t="s">
        <v>16</v>
      </c>
      <c r="D10" s="87">
        <v>0</v>
      </c>
      <c r="E10" s="85">
        <v>0</v>
      </c>
      <c r="F10" s="86" t="s">
        <v>16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221.6</v>
      </c>
    </row>
    <row r="11" spans="1:16" x14ac:dyDescent="0.25">
      <c r="A11" s="84" t="s">
        <v>32</v>
      </c>
      <c r="B11" s="85">
        <v>0</v>
      </c>
      <c r="C11" s="86" t="s">
        <v>16</v>
      </c>
      <c r="D11" s="87">
        <v>0</v>
      </c>
      <c r="E11" s="85">
        <v>0</v>
      </c>
      <c r="F11" s="86" t="s">
        <v>16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196.6</v>
      </c>
    </row>
    <row r="12" spans="1:16" x14ac:dyDescent="0.25">
      <c r="A12" s="84" t="s">
        <v>33</v>
      </c>
      <c r="B12" s="85">
        <v>0</v>
      </c>
      <c r="C12" s="86" t="s">
        <v>16</v>
      </c>
      <c r="D12" s="87">
        <v>0</v>
      </c>
      <c r="E12" s="85">
        <v>0</v>
      </c>
      <c r="F12" s="86" t="s">
        <v>16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175.2</v>
      </c>
    </row>
    <row r="13" spans="1:16" x14ac:dyDescent="0.25">
      <c r="A13" s="74" t="s">
        <v>34</v>
      </c>
      <c r="B13" s="75">
        <v>0</v>
      </c>
      <c r="C13" s="76" t="s">
        <v>16</v>
      </c>
      <c r="D13" s="77">
        <v>0</v>
      </c>
      <c r="E13" s="75">
        <v>0</v>
      </c>
      <c r="F13" s="76" t="s">
        <v>16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25">
      <c r="A14" s="74" t="s">
        <v>35</v>
      </c>
      <c r="B14" s="75">
        <v>0</v>
      </c>
      <c r="C14" s="76" t="s">
        <v>16</v>
      </c>
      <c r="D14" s="77">
        <v>0</v>
      </c>
      <c r="E14" s="75">
        <v>0</v>
      </c>
      <c r="F14" s="76" t="s">
        <v>16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25">
      <c r="A15" s="74" t="s">
        <v>36</v>
      </c>
      <c r="B15" s="75">
        <v>0</v>
      </c>
      <c r="C15" s="76" t="s">
        <v>16</v>
      </c>
      <c r="D15" s="77">
        <v>0</v>
      </c>
      <c r="E15" s="75">
        <v>0</v>
      </c>
      <c r="F15" s="76" t="s">
        <v>16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25">
      <c r="A16" s="74" t="s">
        <v>37</v>
      </c>
      <c r="B16" s="75">
        <v>0</v>
      </c>
      <c r="C16" s="76" t="s">
        <v>16</v>
      </c>
      <c r="D16" s="77">
        <v>0</v>
      </c>
      <c r="E16" s="75">
        <v>0</v>
      </c>
      <c r="F16" s="76" t="s">
        <v>16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868.2</v>
      </c>
    </row>
    <row r="17" spans="1:18" x14ac:dyDescent="0.25">
      <c r="A17" s="74" t="s">
        <v>38</v>
      </c>
      <c r="B17" s="75">
        <v>0</v>
      </c>
      <c r="C17" s="76" t="s">
        <v>16</v>
      </c>
      <c r="D17" s="77">
        <v>0</v>
      </c>
      <c r="E17" s="75">
        <v>0</v>
      </c>
      <c r="F17" s="76" t="s">
        <v>16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8" x14ac:dyDescent="0.25">
      <c r="A18" s="74" t="s">
        <v>89</v>
      </c>
      <c r="B18" s="75">
        <v>100</v>
      </c>
      <c r="C18" s="76" t="s">
        <v>16</v>
      </c>
      <c r="D18" s="77">
        <v>65</v>
      </c>
      <c r="E18" s="75">
        <v>100</v>
      </c>
      <c r="F18" s="76" t="s">
        <v>16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8" x14ac:dyDescent="0.25">
      <c r="A19" s="74" t="s">
        <v>75</v>
      </c>
      <c r="B19" s="75">
        <v>100</v>
      </c>
      <c r="C19" s="76" t="s">
        <v>16</v>
      </c>
      <c r="D19" s="77">
        <v>115</v>
      </c>
      <c r="E19" s="75">
        <v>100</v>
      </c>
      <c r="F19" s="76" t="s">
        <v>16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219.75</v>
      </c>
    </row>
    <row r="20" spans="1:18" x14ac:dyDescent="0.25">
      <c r="A20" s="74" t="s">
        <v>75</v>
      </c>
      <c r="B20" s="75">
        <v>100</v>
      </c>
      <c r="C20" s="76" t="s">
        <v>16</v>
      </c>
      <c r="D20" s="77">
        <v>140</v>
      </c>
      <c r="E20" s="75">
        <v>100</v>
      </c>
      <c r="F20" s="76" t="s">
        <v>16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1015.96</v>
      </c>
    </row>
    <row r="21" spans="1:18" x14ac:dyDescent="0.25">
      <c r="A21" s="74" t="s">
        <v>76</v>
      </c>
      <c r="B21" s="75">
        <v>100</v>
      </c>
      <c r="C21" s="76" t="s">
        <v>16</v>
      </c>
      <c r="D21" s="77">
        <v>207</v>
      </c>
      <c r="E21" s="75">
        <v>100</v>
      </c>
      <c r="F21" s="76" t="s">
        <v>16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8267</v>
      </c>
    </row>
    <row r="22" spans="1:18" x14ac:dyDescent="0.25">
      <c r="A22" s="74" t="s">
        <v>76</v>
      </c>
      <c r="B22" s="75">
        <v>100</v>
      </c>
      <c r="C22" s="76" t="s">
        <v>16</v>
      </c>
      <c r="D22" s="77">
        <v>275</v>
      </c>
      <c r="E22" s="75">
        <v>100</v>
      </c>
      <c r="F22" s="76" t="s">
        <v>16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570</v>
      </c>
    </row>
    <row r="23" spans="1:18" ht="15.75" thickBot="1" x14ac:dyDescent="0.3">
      <c r="A23" s="74" t="s">
        <v>76</v>
      </c>
      <c r="B23" s="75">
        <v>100</v>
      </c>
      <c r="C23" s="76" t="s">
        <v>16</v>
      </c>
      <c r="D23" s="77">
        <v>29</v>
      </c>
      <c r="E23" s="75">
        <v>100</v>
      </c>
      <c r="F23" s="76" t="s">
        <v>16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763.49</v>
      </c>
    </row>
    <row r="24" spans="1:18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49469.19999999999</v>
      </c>
      <c r="Q24" s="182">
        <f>P24/N24</f>
        <v>0.77812223072405839</v>
      </c>
      <c r="R24" s="182">
        <f>1-Q24</f>
        <v>0.22187776927594161</v>
      </c>
    </row>
    <row r="25" spans="1:18" ht="15.75" thickBot="1" x14ac:dyDescent="0.3">
      <c r="A25" s="198" t="s">
        <v>39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200"/>
      <c r="O25" s="104"/>
      <c r="P25" s="104"/>
    </row>
    <row r="26" spans="1:18" x14ac:dyDescent="0.25">
      <c r="A26" s="74" t="s">
        <v>40</v>
      </c>
      <c r="B26" s="75">
        <v>714</v>
      </c>
      <c r="C26" s="76" t="s">
        <v>16</v>
      </c>
      <c r="D26" s="77">
        <v>107</v>
      </c>
      <c r="E26" s="75">
        <v>714</v>
      </c>
      <c r="F26" s="76" t="s">
        <v>16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1447.9096600000198</v>
      </c>
    </row>
    <row r="27" spans="1:18" x14ac:dyDescent="0.25">
      <c r="A27" s="74" t="s">
        <v>41</v>
      </c>
      <c r="B27" s="75">
        <v>713</v>
      </c>
      <c r="C27" s="76" t="s">
        <v>16</v>
      </c>
      <c r="D27" s="77">
        <v>920</v>
      </c>
      <c r="E27" s="75">
        <v>715</v>
      </c>
      <c r="F27" s="76" t="s">
        <v>16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11669.5</v>
      </c>
    </row>
    <row r="28" spans="1:18" x14ac:dyDescent="0.25">
      <c r="A28" s="74" t="s">
        <v>42</v>
      </c>
      <c r="B28" s="75">
        <v>0</v>
      </c>
      <c r="C28" s="76" t="s">
        <v>16</v>
      </c>
      <c r="D28" s="77">
        <v>0</v>
      </c>
      <c r="E28" s="75">
        <v>0</v>
      </c>
      <c r="F28" s="76" t="s">
        <v>16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137.25284000000002</v>
      </c>
    </row>
    <row r="29" spans="1:18" x14ac:dyDescent="0.25">
      <c r="A29" s="74" t="s">
        <v>43</v>
      </c>
      <c r="B29" s="75">
        <v>0</v>
      </c>
      <c r="C29" s="76" t="s">
        <v>16</v>
      </c>
      <c r="D29" s="77">
        <v>0</v>
      </c>
      <c r="E29" s="75">
        <v>0</v>
      </c>
      <c r="F29" s="76" t="s">
        <v>16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133.71062000000001</v>
      </c>
    </row>
    <row r="30" spans="1:18" x14ac:dyDescent="0.25">
      <c r="A30" s="74" t="s">
        <v>44</v>
      </c>
      <c r="B30" s="75">
        <v>0</v>
      </c>
      <c r="C30" s="76" t="s">
        <v>16</v>
      </c>
      <c r="D30" s="77">
        <v>0</v>
      </c>
      <c r="E30" s="75">
        <v>0</v>
      </c>
      <c r="F30" s="76" t="s">
        <v>16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90.94529</v>
      </c>
    </row>
    <row r="31" spans="1:18" x14ac:dyDescent="0.25">
      <c r="A31" s="74" t="s">
        <v>45</v>
      </c>
      <c r="B31" s="75">
        <v>0</v>
      </c>
      <c r="C31" s="76" t="s">
        <v>16</v>
      </c>
      <c r="D31" s="77">
        <v>0</v>
      </c>
      <c r="E31" s="75">
        <v>0</v>
      </c>
      <c r="F31" s="76" t="s">
        <v>16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93.500695000000007</v>
      </c>
    </row>
    <row r="32" spans="1:18" x14ac:dyDescent="0.25">
      <c r="A32" s="74" t="s">
        <v>46</v>
      </c>
      <c r="B32" s="75">
        <v>0</v>
      </c>
      <c r="C32" s="76" t="s">
        <v>16</v>
      </c>
      <c r="D32" s="77">
        <v>0</v>
      </c>
      <c r="E32" s="75">
        <v>0</v>
      </c>
      <c r="F32" s="76" t="s">
        <v>16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134.43164000000002</v>
      </c>
    </row>
    <row r="33" spans="1:18" x14ac:dyDescent="0.25">
      <c r="A33" s="74" t="s">
        <v>47</v>
      </c>
      <c r="B33" s="75">
        <v>0</v>
      </c>
      <c r="C33" s="76" t="s">
        <v>16</v>
      </c>
      <c r="D33" s="77">
        <v>0</v>
      </c>
      <c r="E33" s="75">
        <v>0</v>
      </c>
      <c r="F33" s="76" t="s">
        <v>16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149.78789</v>
      </c>
    </row>
    <row r="34" spans="1:18" x14ac:dyDescent="0.25">
      <c r="A34" s="74" t="s">
        <v>48</v>
      </c>
      <c r="B34" s="75">
        <v>714</v>
      </c>
      <c r="C34" s="76" t="s">
        <v>16</v>
      </c>
      <c r="D34" s="77">
        <v>110</v>
      </c>
      <c r="E34" s="75">
        <v>714</v>
      </c>
      <c r="F34" s="76" t="s">
        <v>16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552.40692999985401</v>
      </c>
    </row>
    <row r="35" spans="1:18" x14ac:dyDescent="0.25">
      <c r="A35" s="74" t="s">
        <v>49</v>
      </c>
      <c r="B35" s="75">
        <v>713</v>
      </c>
      <c r="C35" s="76" t="s">
        <v>16</v>
      </c>
      <c r="D35" s="77">
        <v>889</v>
      </c>
      <c r="E35" s="75">
        <v>715</v>
      </c>
      <c r="F35" s="76" t="s">
        <v>16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6024.6748999985202</v>
      </c>
    </row>
    <row r="36" spans="1:18" x14ac:dyDescent="0.25">
      <c r="A36" s="74" t="s">
        <v>50</v>
      </c>
      <c r="B36" s="75">
        <v>0</v>
      </c>
      <c r="C36" s="76" t="s">
        <v>16</v>
      </c>
      <c r="D36" s="77">
        <v>0</v>
      </c>
      <c r="E36" s="75">
        <v>0</v>
      </c>
      <c r="F36" s="76" t="s">
        <v>16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67.00206</v>
      </c>
    </row>
    <row r="37" spans="1:18" x14ac:dyDescent="0.25">
      <c r="A37" s="74" t="s">
        <v>51</v>
      </c>
      <c r="B37" s="75">
        <v>0</v>
      </c>
      <c r="C37" s="76" t="s">
        <v>16</v>
      </c>
      <c r="D37" s="77">
        <v>0</v>
      </c>
      <c r="E37" s="75">
        <v>0</v>
      </c>
      <c r="F37" s="76" t="s">
        <v>16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45.399249999999995</v>
      </c>
    </row>
    <row r="38" spans="1:18" x14ac:dyDescent="0.25">
      <c r="A38" s="74" t="s">
        <v>52</v>
      </c>
      <c r="B38" s="75">
        <v>0</v>
      </c>
      <c r="C38" s="76" t="s">
        <v>16</v>
      </c>
      <c r="D38" s="77">
        <v>0</v>
      </c>
      <c r="E38" s="75">
        <v>0</v>
      </c>
      <c r="F38" s="76" t="s">
        <v>16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78.239739999999998</v>
      </c>
    </row>
    <row r="39" spans="1:18" x14ac:dyDescent="0.25">
      <c r="A39" s="74" t="s">
        <v>53</v>
      </c>
      <c r="B39" s="75">
        <v>0</v>
      </c>
      <c r="C39" s="76" t="s">
        <v>16</v>
      </c>
      <c r="D39" s="77">
        <v>0</v>
      </c>
      <c r="E39" s="75">
        <v>0</v>
      </c>
      <c r="F39" s="76" t="s">
        <v>16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si="4"/>
        <v>64.156304999999975</v>
      </c>
      <c r="O39" s="79"/>
      <c r="P39" s="92">
        <v>64.156304999999975</v>
      </c>
    </row>
    <row r="40" spans="1:18" ht="15.75" thickBot="1" x14ac:dyDescent="0.3">
      <c r="A40" s="74" t="s">
        <v>54</v>
      </c>
      <c r="B40" s="75">
        <v>0</v>
      </c>
      <c r="C40" s="76" t="s">
        <v>16</v>
      </c>
      <c r="D40" s="77">
        <v>0</v>
      </c>
      <c r="E40" s="75">
        <v>0</v>
      </c>
      <c r="F40" s="76" t="s">
        <v>16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3.8048399999999996</v>
      </c>
    </row>
    <row r="41" spans="1:18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5">SUM(I26:I40)</f>
        <v>0</v>
      </c>
      <c r="J41" s="13">
        <f t="shared" si="5"/>
        <v>0</v>
      </c>
      <c r="K41" s="13">
        <f t="shared" si="5"/>
        <v>11547.726129998644</v>
      </c>
      <c r="L41" s="13">
        <f t="shared" si="5"/>
        <v>2033.828979999842</v>
      </c>
      <c r="M41" s="13">
        <f t="shared" si="5"/>
        <v>10202.664059999976</v>
      </c>
      <c r="N41" s="13">
        <f t="shared" si="5"/>
        <v>23784.219169998461</v>
      </c>
      <c r="O41" s="13">
        <f t="shared" si="5"/>
        <v>0</v>
      </c>
      <c r="P41" s="13">
        <f>SUM(P26:P40)</f>
        <v>20692.722659998391</v>
      </c>
      <c r="Q41" s="182">
        <f>P41/N41</f>
        <v>0.87001900344495231</v>
      </c>
      <c r="R41" s="182">
        <f>1-Q41</f>
        <v>0.12998099655504769</v>
      </c>
    </row>
    <row r="42" spans="1:18" ht="15.75" thickBot="1" x14ac:dyDescent="0.3">
      <c r="A42" s="11" t="s">
        <v>18</v>
      </c>
      <c r="B42" s="12"/>
      <c r="C42" s="12"/>
      <c r="D42" s="12"/>
      <c r="E42" s="12"/>
      <c r="F42" s="12"/>
      <c r="G42" s="12"/>
      <c r="H42" s="13"/>
      <c r="I42" s="14">
        <f t="shared" ref="I42:M42" si="6">I24+I41</f>
        <v>0</v>
      </c>
      <c r="J42" s="14">
        <f t="shared" si="6"/>
        <v>0</v>
      </c>
      <c r="K42" s="14">
        <f t="shared" si="6"/>
        <v>69756.253499998405</v>
      </c>
      <c r="L42" s="14">
        <f t="shared" si="6"/>
        <v>5421.3926149997915</v>
      </c>
      <c r="M42" s="14">
        <f t="shared" si="6"/>
        <v>12181.674814999986</v>
      </c>
      <c r="N42" s="14">
        <f>N24+N41</f>
        <v>87359.320929998183</v>
      </c>
      <c r="O42" s="14">
        <f t="shared" ref="O42" si="7">O24+O41</f>
        <v>0</v>
      </c>
      <c r="P42" s="14">
        <f>P24+P41</f>
        <v>70161.922659998381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P49"/>
  <sheetViews>
    <sheetView topLeftCell="A2" zoomScale="85" zoomScaleNormal="85" workbookViewId="0">
      <selection activeCell="N26" sqref="N26:N38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</cols>
  <sheetData>
    <row r="1" spans="1:14" ht="16.5" x14ac:dyDescent="0.25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7"/>
    </row>
    <row r="2" spans="1:14" x14ac:dyDescent="0.25">
      <c r="A2" s="1" t="s">
        <v>26</v>
      </c>
      <c r="B2" s="238" t="s">
        <v>1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</row>
    <row r="3" spans="1:14" x14ac:dyDescent="0.25">
      <c r="A3" s="207" t="s">
        <v>2</v>
      </c>
      <c r="B3" s="208" t="s">
        <v>3</v>
      </c>
      <c r="C3" s="209"/>
      <c r="D3" s="209"/>
      <c r="E3" s="209"/>
      <c r="F3" s="209"/>
      <c r="G3" s="210"/>
      <c r="H3" s="214" t="s">
        <v>4</v>
      </c>
      <c r="I3" s="219" t="s">
        <v>55</v>
      </c>
      <c r="J3" s="221"/>
      <c r="K3" s="221"/>
      <c r="L3" s="221"/>
      <c r="M3" s="221"/>
      <c r="N3" s="222"/>
    </row>
    <row r="4" spans="1:14" x14ac:dyDescent="0.25">
      <c r="A4" s="207"/>
      <c r="B4" s="211"/>
      <c r="C4" s="212"/>
      <c r="D4" s="212"/>
      <c r="E4" s="212"/>
      <c r="F4" s="212"/>
      <c r="G4" s="213"/>
      <c r="H4" s="214"/>
      <c r="I4" s="219" t="s">
        <v>6</v>
      </c>
      <c r="J4" s="220"/>
      <c r="K4" s="219" t="s">
        <v>7</v>
      </c>
      <c r="L4" s="221"/>
      <c r="M4" s="221"/>
      <c r="N4" s="222"/>
    </row>
    <row r="5" spans="1:14" ht="43.5" thickBot="1" x14ac:dyDescent="0.3">
      <c r="A5" s="232"/>
      <c r="B5" s="234" t="s">
        <v>8</v>
      </c>
      <c r="C5" s="234"/>
      <c r="D5" s="234"/>
      <c r="E5" s="234" t="s">
        <v>9</v>
      </c>
      <c r="F5" s="234"/>
      <c r="G5" s="234"/>
      <c r="H5" s="233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</row>
    <row r="6" spans="1:14" x14ac:dyDescent="0.25">
      <c r="A6" s="247" t="s">
        <v>56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9"/>
    </row>
    <row r="7" spans="1:14" x14ac:dyDescent="0.25">
      <c r="A7" s="4" t="s">
        <v>57</v>
      </c>
      <c r="B7" s="5">
        <v>746</v>
      </c>
      <c r="C7" s="6" t="s">
        <v>16</v>
      </c>
      <c r="D7" s="7">
        <v>20</v>
      </c>
      <c r="E7" s="5">
        <v>746</v>
      </c>
      <c r="F7" s="6" t="s">
        <v>16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v>50423.5</v>
      </c>
    </row>
    <row r="8" spans="1:14" x14ac:dyDescent="0.25">
      <c r="A8" s="4" t="s">
        <v>28</v>
      </c>
      <c r="B8" s="5">
        <v>100</v>
      </c>
      <c r="C8" s="6" t="s">
        <v>16</v>
      </c>
      <c r="D8" s="7">
        <v>0</v>
      </c>
      <c r="E8" s="5">
        <v>100</v>
      </c>
      <c r="F8" s="6" t="s">
        <v>16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v>232.4</v>
      </c>
    </row>
    <row r="9" spans="1:14" x14ac:dyDescent="0.25">
      <c r="A9" s="4" t="s">
        <v>29</v>
      </c>
      <c r="B9" s="5">
        <v>200</v>
      </c>
      <c r="C9" s="6" t="s">
        <v>16</v>
      </c>
      <c r="D9" s="7">
        <v>0</v>
      </c>
      <c r="E9" s="5">
        <v>200</v>
      </c>
      <c r="F9" s="6" t="s">
        <v>16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v>2649.1</v>
      </c>
    </row>
    <row r="10" spans="1:14" x14ac:dyDescent="0.25">
      <c r="A10" s="4" t="s">
        <v>58</v>
      </c>
      <c r="B10" s="5">
        <v>0</v>
      </c>
      <c r="C10" s="6" t="s">
        <v>16</v>
      </c>
      <c r="D10" s="7">
        <v>0</v>
      </c>
      <c r="E10" s="5">
        <v>0</v>
      </c>
      <c r="F10" s="6" t="s">
        <v>16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v>593.6</v>
      </c>
    </row>
    <row r="11" spans="1:14" x14ac:dyDescent="0.25">
      <c r="A11" s="4" t="s">
        <v>59</v>
      </c>
      <c r="B11" s="5">
        <v>0</v>
      </c>
      <c r="C11" s="6" t="s">
        <v>16</v>
      </c>
      <c r="D11" s="7">
        <v>0</v>
      </c>
      <c r="E11" s="5">
        <v>0</v>
      </c>
      <c r="F11" s="6" t="s">
        <v>16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v>252.3</v>
      </c>
    </row>
    <row r="12" spans="1:14" x14ac:dyDescent="0.25">
      <c r="A12" s="4" t="s">
        <v>31</v>
      </c>
      <c r="B12" s="5">
        <v>0</v>
      </c>
      <c r="C12" s="6" t="s">
        <v>16</v>
      </c>
      <c r="D12" s="7">
        <v>0</v>
      </c>
      <c r="E12" s="5">
        <v>0</v>
      </c>
      <c r="F12" s="6" t="s">
        <v>16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v>232.8</v>
      </c>
    </row>
    <row r="13" spans="1:14" x14ac:dyDescent="0.25">
      <c r="A13" s="4" t="s">
        <v>32</v>
      </c>
      <c r="B13" s="5">
        <v>0</v>
      </c>
      <c r="C13" s="6" t="s">
        <v>16</v>
      </c>
      <c r="D13" s="7">
        <v>0</v>
      </c>
      <c r="E13" s="5">
        <v>0</v>
      </c>
      <c r="F13" s="6" t="s">
        <v>16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v>204.20000000000002</v>
      </c>
    </row>
    <row r="14" spans="1:14" x14ac:dyDescent="0.25">
      <c r="A14" s="4" t="s">
        <v>33</v>
      </c>
      <c r="B14" s="5">
        <v>0</v>
      </c>
      <c r="C14" s="6" t="s">
        <v>16</v>
      </c>
      <c r="D14" s="7">
        <v>0</v>
      </c>
      <c r="E14" s="5">
        <v>0</v>
      </c>
      <c r="F14" s="6" t="s">
        <v>16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v>262.3</v>
      </c>
    </row>
    <row r="15" spans="1:14" x14ac:dyDescent="0.25">
      <c r="A15" s="4" t="s">
        <v>34</v>
      </c>
      <c r="B15" s="5">
        <v>0</v>
      </c>
      <c r="C15" s="6" t="s">
        <v>16</v>
      </c>
      <c r="D15" s="7">
        <v>0</v>
      </c>
      <c r="E15" s="5">
        <v>0</v>
      </c>
      <c r="F15" s="6" t="s">
        <v>16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v>372.79999999999995</v>
      </c>
    </row>
    <row r="16" spans="1:14" x14ac:dyDescent="0.25">
      <c r="A16" s="4" t="s">
        <v>35</v>
      </c>
      <c r="B16" s="5">
        <v>0</v>
      </c>
      <c r="C16" s="6" t="s">
        <v>16</v>
      </c>
      <c r="D16" s="7">
        <v>0</v>
      </c>
      <c r="E16" s="5">
        <v>0</v>
      </c>
      <c r="F16" s="6" t="s">
        <v>16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v>173.1</v>
      </c>
    </row>
    <row r="17" spans="1:14" x14ac:dyDescent="0.25">
      <c r="A17" s="4" t="s">
        <v>36</v>
      </c>
      <c r="B17" s="5">
        <v>0</v>
      </c>
      <c r="C17" s="6" t="s">
        <v>16</v>
      </c>
      <c r="D17" s="7">
        <v>0</v>
      </c>
      <c r="E17" s="5">
        <v>0</v>
      </c>
      <c r="F17" s="6" t="s">
        <v>16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v>175.5</v>
      </c>
    </row>
    <row r="18" spans="1:14" x14ac:dyDescent="0.25">
      <c r="A18" s="4" t="s">
        <v>37</v>
      </c>
      <c r="B18" s="5">
        <v>0</v>
      </c>
      <c r="C18" s="6" t="s">
        <v>16</v>
      </c>
      <c r="D18" s="7">
        <v>0</v>
      </c>
      <c r="E18" s="5">
        <v>0</v>
      </c>
      <c r="F18" s="6" t="s">
        <v>16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v>936.1</v>
      </c>
    </row>
    <row r="19" spans="1:14" x14ac:dyDescent="0.25">
      <c r="A19" s="4" t="s">
        <v>38</v>
      </c>
      <c r="B19" s="5">
        <v>0</v>
      </c>
      <c r="C19" s="6" t="s">
        <v>16</v>
      </c>
      <c r="D19" s="7">
        <v>0</v>
      </c>
      <c r="E19" s="5">
        <v>0</v>
      </c>
      <c r="F19" s="6" t="s">
        <v>16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v>3294.2000000000003</v>
      </c>
    </row>
    <row r="20" spans="1:14" x14ac:dyDescent="0.25">
      <c r="A20" s="4" t="s">
        <v>77</v>
      </c>
      <c r="B20" s="5">
        <v>746</v>
      </c>
      <c r="C20" s="6" t="s">
        <v>16</v>
      </c>
      <c r="D20" s="7">
        <v>231</v>
      </c>
      <c r="E20" s="5">
        <v>746</v>
      </c>
      <c r="F20" s="6" t="s">
        <v>16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v>8189.41</v>
      </c>
    </row>
    <row r="21" spans="1:14" x14ac:dyDescent="0.25">
      <c r="A21" s="4" t="s">
        <v>77</v>
      </c>
      <c r="B21" s="5">
        <v>746</v>
      </c>
      <c r="C21" s="6" t="s">
        <v>16</v>
      </c>
      <c r="D21" s="7">
        <v>289</v>
      </c>
      <c r="E21" s="5">
        <v>746</v>
      </c>
      <c r="F21" s="6" t="s">
        <v>16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v>8454.86</v>
      </c>
    </row>
    <row r="22" spans="1:14" x14ac:dyDescent="0.25">
      <c r="A22" s="4" t="s">
        <v>77</v>
      </c>
      <c r="B22" s="5">
        <v>746</v>
      </c>
      <c r="C22" s="6" t="s">
        <v>16</v>
      </c>
      <c r="D22" s="7">
        <v>327</v>
      </c>
      <c r="E22" s="5">
        <v>746</v>
      </c>
      <c r="F22" s="6" t="s">
        <v>16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v>0</v>
      </c>
    </row>
    <row r="23" spans="1:14" ht="15.75" thickBot="1" x14ac:dyDescent="0.3">
      <c r="A23" s="4" t="s">
        <v>77</v>
      </c>
      <c r="B23" s="5">
        <v>746</v>
      </c>
      <c r="C23" s="6" t="s">
        <v>16</v>
      </c>
      <c r="D23" s="7">
        <v>347</v>
      </c>
      <c r="E23" s="5">
        <v>746</v>
      </c>
      <c r="F23" s="6" t="s">
        <v>16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v>0</v>
      </c>
    </row>
    <row r="24" spans="1:14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SUM(N7:N23)</f>
        <v>76446.17</v>
      </c>
    </row>
    <row r="25" spans="1:14" ht="15.75" thickBot="1" x14ac:dyDescent="0.3">
      <c r="A25" s="198" t="s">
        <v>60</v>
      </c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200"/>
    </row>
    <row r="26" spans="1:14" x14ac:dyDescent="0.25">
      <c r="A26" s="4" t="s">
        <v>40</v>
      </c>
      <c r="B26" s="5">
        <v>746</v>
      </c>
      <c r="C26" s="6" t="s">
        <v>16</v>
      </c>
      <c r="D26" s="35">
        <v>635</v>
      </c>
      <c r="E26" s="5">
        <v>746</v>
      </c>
      <c r="F26" s="6" t="s">
        <v>16</v>
      </c>
      <c r="G26" s="7">
        <v>984.98499999998603</v>
      </c>
      <c r="H26" s="8">
        <f t="shared" ref="H26:H37" si="1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v>1212.0999999999999</v>
      </c>
    </row>
    <row r="27" spans="1:14" x14ac:dyDescent="0.25">
      <c r="A27" s="4" t="s">
        <v>61</v>
      </c>
      <c r="B27" s="5">
        <v>745</v>
      </c>
      <c r="C27" s="6" t="s">
        <v>16</v>
      </c>
      <c r="D27" s="35">
        <v>500</v>
      </c>
      <c r="E27" s="5">
        <v>746</v>
      </c>
      <c r="F27" s="6" t="s">
        <v>16</v>
      </c>
      <c r="G27" s="7">
        <v>234.91299999994226</v>
      </c>
      <c r="H27" s="8">
        <f t="shared" si="1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v>3011.9</v>
      </c>
    </row>
    <row r="28" spans="1:14" x14ac:dyDescent="0.25">
      <c r="A28" s="4" t="s">
        <v>62</v>
      </c>
      <c r="B28" s="5">
        <v>746</v>
      </c>
      <c r="C28" s="6" t="s">
        <v>16</v>
      </c>
      <c r="D28" s="35">
        <v>390</v>
      </c>
      <c r="E28" s="5">
        <v>747</v>
      </c>
      <c r="F28" s="6" t="s">
        <v>16</v>
      </c>
      <c r="G28" s="7">
        <v>569.46999999997206</v>
      </c>
      <c r="H28" s="8">
        <f t="shared" si="1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v>6916.3</v>
      </c>
    </row>
    <row r="29" spans="1:14" x14ac:dyDescent="0.25">
      <c r="A29" s="4" t="s">
        <v>63</v>
      </c>
      <c r="B29" s="5">
        <v>0</v>
      </c>
      <c r="C29" s="6" t="s">
        <v>16</v>
      </c>
      <c r="D29" s="35">
        <v>0</v>
      </c>
      <c r="E29" s="5">
        <v>0</v>
      </c>
      <c r="F29" s="6" t="s">
        <v>16</v>
      </c>
      <c r="G29" s="7">
        <v>21.09</v>
      </c>
      <c r="H29" s="8">
        <f t="shared" si="1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v>107.28132500000001</v>
      </c>
    </row>
    <row r="30" spans="1:14" x14ac:dyDescent="0.25">
      <c r="A30" s="4" t="s">
        <v>64</v>
      </c>
      <c r="B30" s="5">
        <v>0</v>
      </c>
      <c r="C30" s="6" t="s">
        <v>16</v>
      </c>
      <c r="D30" s="35">
        <v>0</v>
      </c>
      <c r="E30" s="5">
        <v>0</v>
      </c>
      <c r="F30" s="6" t="s">
        <v>16</v>
      </c>
      <c r="G30" s="7">
        <v>28.027000000000001</v>
      </c>
      <c r="H30" s="8">
        <f t="shared" si="1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v>108</v>
      </c>
    </row>
    <row r="31" spans="1:14" x14ac:dyDescent="0.25">
      <c r="A31" s="4" t="s">
        <v>65</v>
      </c>
      <c r="B31" s="5">
        <v>0</v>
      </c>
      <c r="C31" s="6" t="s">
        <v>16</v>
      </c>
      <c r="D31" s="35">
        <v>0</v>
      </c>
      <c r="E31" s="5">
        <v>0</v>
      </c>
      <c r="F31" s="6" t="s">
        <v>16</v>
      </c>
      <c r="G31" s="7">
        <v>30.798999999999999</v>
      </c>
      <c r="H31" s="8">
        <f t="shared" si="1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v>164.8</v>
      </c>
    </row>
    <row r="32" spans="1:14" x14ac:dyDescent="0.25">
      <c r="A32" s="4" t="s">
        <v>66</v>
      </c>
      <c r="B32" s="5">
        <v>0</v>
      </c>
      <c r="C32" s="6" t="s">
        <v>16</v>
      </c>
      <c r="D32" s="35">
        <v>0</v>
      </c>
      <c r="E32" s="5">
        <v>0</v>
      </c>
      <c r="F32" s="6" t="s">
        <v>16</v>
      </c>
      <c r="G32" s="7">
        <v>40.738</v>
      </c>
      <c r="H32" s="8">
        <f t="shared" si="1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v>121.9</v>
      </c>
    </row>
    <row r="33" spans="1:16" x14ac:dyDescent="0.25">
      <c r="A33" s="4" t="s">
        <v>67</v>
      </c>
      <c r="B33" s="5">
        <v>0</v>
      </c>
      <c r="C33" s="6" t="s">
        <v>16</v>
      </c>
      <c r="D33" s="35">
        <v>0</v>
      </c>
      <c r="E33" s="5">
        <v>0</v>
      </c>
      <c r="F33" s="6" t="s">
        <v>16</v>
      </c>
      <c r="G33" s="7">
        <v>29.472000000000001</v>
      </c>
      <c r="H33" s="8">
        <f t="shared" si="1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v>125</v>
      </c>
    </row>
    <row r="34" spans="1:16" x14ac:dyDescent="0.25">
      <c r="A34" s="4" t="s">
        <v>48</v>
      </c>
      <c r="B34" s="5">
        <v>746</v>
      </c>
      <c r="C34" s="6" t="s">
        <v>16</v>
      </c>
      <c r="D34" s="35">
        <v>610</v>
      </c>
      <c r="E34" s="5">
        <v>746</v>
      </c>
      <c r="F34" s="6" t="s">
        <v>16</v>
      </c>
      <c r="G34" s="7">
        <v>853.1600000000326</v>
      </c>
      <c r="H34" s="8">
        <f t="shared" si="1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v>898.90000000000009</v>
      </c>
    </row>
    <row r="35" spans="1:16" x14ac:dyDescent="0.25">
      <c r="A35" s="4" t="s">
        <v>49</v>
      </c>
      <c r="B35" s="5">
        <v>746</v>
      </c>
      <c r="C35" s="6" t="s">
        <v>16</v>
      </c>
      <c r="D35" s="35">
        <v>520</v>
      </c>
      <c r="E35" s="5">
        <v>747</v>
      </c>
      <c r="F35" s="6" t="s">
        <v>16</v>
      </c>
      <c r="G35" s="7">
        <v>791.76599999994505</v>
      </c>
      <c r="H35" s="8">
        <f t="shared" si="1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v>7582.9</v>
      </c>
    </row>
    <row r="36" spans="1:16" x14ac:dyDescent="0.25">
      <c r="A36" s="4" t="s">
        <v>68</v>
      </c>
      <c r="B36" s="5">
        <v>0</v>
      </c>
      <c r="C36" s="6" t="s">
        <v>16</v>
      </c>
      <c r="D36" s="35">
        <v>0</v>
      </c>
      <c r="E36" s="5">
        <v>0</v>
      </c>
      <c r="F36" s="6" t="s">
        <v>16</v>
      </c>
      <c r="G36" s="7">
        <v>40.015000000000001</v>
      </c>
      <c r="H36" s="8">
        <f t="shared" si="1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v>146.4</v>
      </c>
    </row>
    <row r="37" spans="1:16" ht="15.75" thickBot="1" x14ac:dyDescent="0.3">
      <c r="A37" s="4" t="s">
        <v>69</v>
      </c>
      <c r="B37" s="5">
        <v>0</v>
      </c>
      <c r="C37" s="6" t="s">
        <v>16</v>
      </c>
      <c r="D37" s="35">
        <v>0</v>
      </c>
      <c r="E37" s="5">
        <v>0</v>
      </c>
      <c r="F37" s="6" t="s">
        <v>16</v>
      </c>
      <c r="G37" s="7">
        <v>40.609000000000002</v>
      </c>
      <c r="H37" s="8">
        <f t="shared" si="1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v>139.9</v>
      </c>
    </row>
    <row r="38" spans="1:16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2">SUM(I26:I37)</f>
        <v>0</v>
      </c>
      <c r="J38" s="13">
        <f t="shared" si="2"/>
        <v>0</v>
      </c>
      <c r="K38" s="13">
        <f t="shared" si="2"/>
        <v>7059.9483449999398</v>
      </c>
      <c r="L38" s="13">
        <f t="shared" si="2"/>
        <v>1343.0050949999934</v>
      </c>
      <c r="M38" s="13">
        <f t="shared" si="2"/>
        <v>15457.839404999602</v>
      </c>
      <c r="N38" s="13">
        <f t="shared" si="2"/>
        <v>20535.381325000002</v>
      </c>
    </row>
    <row r="39" spans="1:16" ht="15.75" thickBot="1" x14ac:dyDescent="0.3">
      <c r="A39" s="198" t="s">
        <v>21</v>
      </c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200"/>
    </row>
    <row r="40" spans="1:16" x14ac:dyDescent="0.25">
      <c r="A40" s="4" t="s">
        <v>73</v>
      </c>
      <c r="B40" s="5">
        <v>755</v>
      </c>
      <c r="C40" s="6" t="s">
        <v>16</v>
      </c>
      <c r="D40" s="36">
        <v>45.912999999942258</v>
      </c>
      <c r="E40" s="5">
        <v>755</v>
      </c>
      <c r="F40" s="6" t="s">
        <v>16</v>
      </c>
      <c r="G40" s="36">
        <v>585.55500000005122</v>
      </c>
      <c r="H40" s="8">
        <f t="shared" ref="H40:H45" si="3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v>167.50422200001313</v>
      </c>
    </row>
    <row r="41" spans="1:16" x14ac:dyDescent="0.25">
      <c r="A41" s="4" t="s">
        <v>73</v>
      </c>
      <c r="B41" s="5">
        <v>755</v>
      </c>
      <c r="C41" s="6" t="s">
        <v>16</v>
      </c>
      <c r="D41" s="36">
        <v>250</v>
      </c>
      <c r="E41" s="5">
        <v>755</v>
      </c>
      <c r="F41" s="6" t="s">
        <v>16</v>
      </c>
      <c r="G41" s="36">
        <v>250</v>
      </c>
      <c r="H41" s="8">
        <f t="shared" si="3"/>
        <v>0</v>
      </c>
      <c r="I41" s="9"/>
      <c r="J41" s="8"/>
      <c r="K41" s="8"/>
      <c r="L41" s="37">
        <v>48.184557999999996</v>
      </c>
      <c r="M41" s="8"/>
      <c r="N41" s="10">
        <v>48.184557999999996</v>
      </c>
    </row>
    <row r="42" spans="1:16" x14ac:dyDescent="0.25">
      <c r="A42" s="4" t="s">
        <v>73</v>
      </c>
      <c r="B42" s="5">
        <v>755</v>
      </c>
      <c r="C42" s="6" t="s">
        <v>16</v>
      </c>
      <c r="D42" s="36">
        <v>250</v>
      </c>
      <c r="E42" s="5">
        <v>755</v>
      </c>
      <c r="F42" s="6" t="s">
        <v>16</v>
      </c>
      <c r="G42" s="36">
        <v>250</v>
      </c>
      <c r="H42" s="8">
        <f t="shared" si="3"/>
        <v>0</v>
      </c>
      <c r="I42" s="9"/>
      <c r="J42" s="8"/>
      <c r="K42" s="8"/>
      <c r="L42" s="37">
        <v>53.197348000000012</v>
      </c>
      <c r="M42" s="8"/>
      <c r="N42" s="10">
        <v>53.197348000000012</v>
      </c>
    </row>
    <row r="43" spans="1:16" x14ac:dyDescent="0.25">
      <c r="A43" s="4" t="s">
        <v>73</v>
      </c>
      <c r="B43" s="5">
        <v>755</v>
      </c>
      <c r="C43" s="6" t="s">
        <v>16</v>
      </c>
      <c r="D43" s="36">
        <v>45.912999999942258</v>
      </c>
      <c r="E43" s="5">
        <v>755</v>
      </c>
      <c r="F43" s="6" t="s">
        <v>16</v>
      </c>
      <c r="G43" s="36">
        <v>585.55500000005122</v>
      </c>
      <c r="H43" s="8">
        <f t="shared" si="3"/>
        <v>539.64200000010896</v>
      </c>
      <c r="I43" s="9"/>
      <c r="J43" s="8"/>
      <c r="K43" s="8"/>
      <c r="L43" s="37">
        <v>670.01688800005275</v>
      </c>
      <c r="M43" s="8"/>
      <c r="N43" s="10">
        <v>670.01688800005275</v>
      </c>
    </row>
    <row r="44" spans="1:16" x14ac:dyDescent="0.25">
      <c r="A44" s="4" t="s">
        <v>73</v>
      </c>
      <c r="B44" s="5">
        <v>755</v>
      </c>
      <c r="C44" s="6" t="s">
        <v>16</v>
      </c>
      <c r="D44" s="36">
        <v>250</v>
      </c>
      <c r="E44" s="5">
        <v>755</v>
      </c>
      <c r="F44" s="6" t="s">
        <v>16</v>
      </c>
      <c r="G44" s="36">
        <v>250</v>
      </c>
      <c r="H44" s="8">
        <f t="shared" si="3"/>
        <v>0</v>
      </c>
      <c r="I44" s="9"/>
      <c r="J44" s="8"/>
      <c r="K44" s="8"/>
      <c r="L44" s="37">
        <v>192.73823199999998</v>
      </c>
      <c r="M44" s="8"/>
      <c r="N44" s="10">
        <v>192.73823199999998</v>
      </c>
    </row>
    <row r="45" spans="1:16" x14ac:dyDescent="0.25">
      <c r="A45" s="4" t="s">
        <v>73</v>
      </c>
      <c r="B45" s="5">
        <v>755</v>
      </c>
      <c r="C45" s="6" t="s">
        <v>16</v>
      </c>
      <c r="D45" s="36">
        <v>250</v>
      </c>
      <c r="E45" s="5">
        <v>755</v>
      </c>
      <c r="F45" s="6" t="s">
        <v>16</v>
      </c>
      <c r="G45" s="36">
        <v>250</v>
      </c>
      <c r="H45" s="8">
        <f t="shared" si="3"/>
        <v>0</v>
      </c>
      <c r="I45" s="9"/>
      <c r="J45" s="8"/>
      <c r="K45" s="8"/>
      <c r="L45" s="37">
        <v>212.78939199999999</v>
      </c>
      <c r="M45" s="8"/>
      <c r="N45" s="10">
        <v>212.78939199999999</v>
      </c>
    </row>
    <row r="46" spans="1:16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4">SUM(I42:I45)</f>
        <v>0</v>
      </c>
      <c r="J46" s="34">
        <f t="shared" si="4"/>
        <v>0</v>
      </c>
      <c r="K46" s="34">
        <f t="shared" si="4"/>
        <v>0</v>
      </c>
      <c r="L46" s="34">
        <f>SUM(L40:L45)</f>
        <v>1344.4306400000658</v>
      </c>
      <c r="M46" s="34">
        <f t="shared" si="4"/>
        <v>0</v>
      </c>
      <c r="N46" s="34">
        <f>SUM(N40:N45)</f>
        <v>1344.4306400000658</v>
      </c>
      <c r="P46" s="39">
        <f>N46</f>
        <v>1344.4306400000658</v>
      </c>
    </row>
    <row r="47" spans="1:16" ht="15.75" thickBot="1" x14ac:dyDescent="0.3">
      <c r="A47" s="11" t="s">
        <v>72</v>
      </c>
      <c r="B47" s="12"/>
      <c r="C47" s="12"/>
      <c r="D47" s="12"/>
      <c r="E47" s="12"/>
      <c r="F47" s="12"/>
      <c r="G47" s="12"/>
      <c r="H47" s="12"/>
      <c r="I47" s="14">
        <f t="shared" ref="I47:M47" si="5">I24+I38</f>
        <v>0</v>
      </c>
      <c r="J47" s="14">
        <f t="shared" si="5"/>
        <v>0</v>
      </c>
      <c r="K47" s="14">
        <f t="shared" si="5"/>
        <v>79246.295754999985</v>
      </c>
      <c r="L47" s="14">
        <f t="shared" si="5"/>
        <v>8911.8227599999991</v>
      </c>
      <c r="M47" s="14">
        <f t="shared" si="5"/>
        <v>21028.791704999574</v>
      </c>
      <c r="N47" s="14">
        <f>N24+N38</f>
        <v>96981.551325000008</v>
      </c>
    </row>
    <row r="49" spans="13:13" x14ac:dyDescent="0.25">
      <c r="M49">
        <f>245+66+24+85+24</f>
        <v>444</v>
      </c>
    </row>
  </sheetData>
  <mergeCells count="13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S32"/>
  <sheetViews>
    <sheetView tabSelected="1" workbookViewId="0">
      <selection activeCell="H17" sqref="H17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1" max="11" width="9" customWidth="1"/>
    <col min="12" max="12" width="23.140625" customWidth="1"/>
    <col min="13" max="13" width="12.5703125" bestFit="1" customWidth="1"/>
    <col min="14" max="14" width="14.5703125" bestFit="1" customWidth="1"/>
    <col min="15" max="15" width="8.7109375" bestFit="1" customWidth="1"/>
  </cols>
  <sheetData>
    <row r="1" spans="1:19" x14ac:dyDescent="0.25">
      <c r="A1" s="189" t="s">
        <v>2</v>
      </c>
      <c r="B1" s="191" t="s">
        <v>3</v>
      </c>
      <c r="C1" s="191"/>
      <c r="D1" s="191"/>
      <c r="E1" s="191"/>
      <c r="F1" s="191"/>
      <c r="G1" s="191"/>
      <c r="H1" s="193" t="s">
        <v>4</v>
      </c>
      <c r="I1" s="187" t="s">
        <v>87</v>
      </c>
    </row>
    <row r="2" spans="1:19" x14ac:dyDescent="0.25">
      <c r="A2" s="190"/>
      <c r="B2" s="192"/>
      <c r="C2" s="192"/>
      <c r="D2" s="192"/>
      <c r="E2" s="192"/>
      <c r="F2" s="192"/>
      <c r="G2" s="192"/>
      <c r="H2" s="194"/>
      <c r="I2" s="188"/>
    </row>
    <row r="3" spans="1:19" ht="42.75" x14ac:dyDescent="0.25">
      <c r="A3" s="190"/>
      <c r="B3" s="192" t="s">
        <v>8</v>
      </c>
      <c r="C3" s="192"/>
      <c r="D3" s="192"/>
      <c r="E3" s="192" t="s">
        <v>9</v>
      </c>
      <c r="F3" s="192"/>
      <c r="G3" s="192"/>
      <c r="H3" s="194"/>
      <c r="I3" s="115" t="s">
        <v>80</v>
      </c>
      <c r="L3" s="183" t="s">
        <v>99</v>
      </c>
      <c r="M3" s="183"/>
      <c r="N3" s="183"/>
      <c r="O3" s="183"/>
      <c r="R3" s="177" t="s">
        <v>96</v>
      </c>
      <c r="S3" s="177" t="s">
        <v>97</v>
      </c>
    </row>
    <row r="4" spans="1:19" x14ac:dyDescent="0.25">
      <c r="A4" s="184" t="s">
        <v>15</v>
      </c>
      <c r="B4" s="185"/>
      <c r="C4" s="185"/>
      <c r="D4" s="185"/>
      <c r="E4" s="185"/>
      <c r="F4" s="185"/>
      <c r="G4" s="185"/>
      <c r="H4" s="185"/>
      <c r="I4" s="186"/>
      <c r="L4" s="154" t="s">
        <v>100</v>
      </c>
      <c r="M4" s="154" t="s">
        <v>101</v>
      </c>
      <c r="N4" s="154" t="s">
        <v>102</v>
      </c>
      <c r="O4" s="154" t="s">
        <v>103</v>
      </c>
      <c r="R4" t="str">
        <f>"Seg-01: "&amp;B5&amp;"+"&amp;TEXT(D5,"000")&amp;" ao "&amp;E5&amp;"+"&amp;TEXT(G5,"000")</f>
        <v>Seg-01: 701+000 ao 713+500</v>
      </c>
      <c r="S4" s="178">
        <f>I5</f>
        <v>30975</v>
      </c>
    </row>
    <row r="5" spans="1:19" x14ac:dyDescent="0.25">
      <c r="A5" s="119" t="s">
        <v>17</v>
      </c>
      <c r="B5" s="106">
        <v>701</v>
      </c>
      <c r="C5" s="106" t="s">
        <v>16</v>
      </c>
      <c r="D5" s="107">
        <v>0</v>
      </c>
      <c r="E5" s="106">
        <v>713</v>
      </c>
      <c r="F5" s="106" t="s">
        <v>16</v>
      </c>
      <c r="G5" s="107">
        <v>500</v>
      </c>
      <c r="H5" s="108">
        <f t="shared" ref="H5:H7" si="0">(E5*1000+G5)-(B5*1000+D5)</f>
        <v>12500</v>
      </c>
      <c r="I5" s="116">
        <f>'SEGMENTO-01'!S29</f>
        <v>30975</v>
      </c>
      <c r="L5" s="154" t="s">
        <v>104</v>
      </c>
      <c r="M5" s="180">
        <f>'SEGMENTO-01'!M29</f>
        <v>114134.81021557681</v>
      </c>
      <c r="N5" s="180">
        <f>M5-O5</f>
        <v>83159.810215576814</v>
      </c>
      <c r="O5" s="180">
        <f>'SEGMENTO-01'!S29</f>
        <v>30975</v>
      </c>
      <c r="R5" t="str">
        <f>"Seg-02 Sul: "&amp;'SEGMENTO-02'!U7&amp;"+"&amp;TEXT('SEGMENTO-02'!W7,"000")&amp;" ao "&amp;'SEGMENTO-02'!X11&amp;"+"&amp;TEXT('SEGMENTO-02'!Z11,"000")</f>
        <v>Seg-02 Sul: 732+000 ao 736+380</v>
      </c>
      <c r="S5" s="178">
        <f>'SEGMENTO-02'!AA12</f>
        <v>11334.8</v>
      </c>
    </row>
    <row r="6" spans="1:19" x14ac:dyDescent="0.25">
      <c r="A6" s="120" t="s">
        <v>17</v>
      </c>
      <c r="B6" s="109">
        <v>732</v>
      </c>
      <c r="C6" s="109" t="s">
        <v>16</v>
      </c>
      <c r="D6" s="110">
        <v>0</v>
      </c>
      <c r="E6" s="109">
        <v>736</v>
      </c>
      <c r="F6" s="109" t="s">
        <v>16</v>
      </c>
      <c r="G6" s="110">
        <v>0</v>
      </c>
      <c r="H6" s="111">
        <f t="shared" si="0"/>
        <v>4000</v>
      </c>
      <c r="I6" s="117">
        <f>'SEGMENTO-02'!S15</f>
        <v>35842.6</v>
      </c>
      <c r="L6" s="154" t="s">
        <v>105</v>
      </c>
      <c r="M6" s="180">
        <f>'SEGMENTO-02'!M15</f>
        <v>55817</v>
      </c>
      <c r="N6" s="180">
        <f t="shared" ref="N6:N11" si="1">M6-O6</f>
        <v>19974.400000000001</v>
      </c>
      <c r="O6" s="180">
        <f>'SEGMENTO-02'!S15</f>
        <v>35842.6</v>
      </c>
      <c r="R6" t="str">
        <f>"Seg-02 Norte: "&amp;'SEGMENTO-02'!U16&amp;"+"&amp;TEXT('SEGMENTO-02'!W16,"000")&amp;" ao "&amp;'SEGMENTO-02'!X18&amp;"+"&amp;TEXT('SEGMENTO-02'!Z18,"000")</f>
        <v>Seg-02 Norte: 732+000 ao 734+220</v>
      </c>
      <c r="S6" s="178">
        <f>'SEGMENTO-02'!AA19</f>
        <v>24507.8</v>
      </c>
    </row>
    <row r="7" spans="1:19" x14ac:dyDescent="0.25">
      <c r="A7" s="121" t="s">
        <v>17</v>
      </c>
      <c r="B7" s="112">
        <v>736</v>
      </c>
      <c r="C7" s="112" t="s">
        <v>16</v>
      </c>
      <c r="D7" s="113">
        <v>0</v>
      </c>
      <c r="E7" s="112">
        <v>745</v>
      </c>
      <c r="F7" s="112" t="s">
        <v>16</v>
      </c>
      <c r="G7" s="113">
        <v>500</v>
      </c>
      <c r="H7" s="114">
        <f t="shared" si="0"/>
        <v>9500</v>
      </c>
      <c r="I7" s="118">
        <f>'nv. greide SEGMENTO-03'!O18</f>
        <v>62270.959999999992</v>
      </c>
      <c r="L7" s="154" t="s">
        <v>106</v>
      </c>
      <c r="M7" s="180">
        <f>'nv. greide SEGMENTO-03'!M18</f>
        <v>137431.1</v>
      </c>
      <c r="N7" s="180">
        <f t="shared" si="1"/>
        <v>75160.140000000014</v>
      </c>
      <c r="O7" s="180">
        <f>'nv. greide SEGMENTO-03'!O18</f>
        <v>62270.959999999992</v>
      </c>
      <c r="R7" t="str">
        <f>"Seg-03: "&amp;B7&amp;"+"&amp;TEXT(D7,"000")&amp;" ao "&amp;E7&amp;"+"&amp;TEXT(G7,"000")</f>
        <v>Seg-03: 736+000 ao 745+500</v>
      </c>
      <c r="S7" s="178">
        <f>I7</f>
        <v>62270.959999999992</v>
      </c>
    </row>
    <row r="8" spans="1:19" ht="15.75" thickBot="1" x14ac:dyDescent="0.3">
      <c r="A8" s="122" t="s">
        <v>90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70161.922659998381</v>
      </c>
      <c r="L8" s="154" t="s">
        <v>107</v>
      </c>
      <c r="M8" s="180">
        <f>'INTERSEÇÃO - km 713+700'!N24</f>
        <v>63575.101759999714</v>
      </c>
      <c r="N8" s="180">
        <f t="shared" si="1"/>
        <v>14105.901759999724</v>
      </c>
      <c r="O8" s="180">
        <f>'INTERSEÇÃO - km 713+700'!P24</f>
        <v>49469.19999999999</v>
      </c>
      <c r="R8" t="str">
        <f>A8</f>
        <v>INTERSEÇÃO - km 713+700 PRIMAVERA</v>
      </c>
      <c r="S8" s="178">
        <f>I8</f>
        <v>70161.922659998381</v>
      </c>
    </row>
    <row r="9" spans="1:19" ht="15.75" thickBot="1" x14ac:dyDescent="0.3">
      <c r="A9" s="127" t="s">
        <v>91</v>
      </c>
      <c r="B9" s="128"/>
      <c r="C9" s="128"/>
      <c r="D9" s="128"/>
      <c r="E9" s="128"/>
      <c r="F9" s="128"/>
      <c r="G9" s="128"/>
      <c r="H9" s="128"/>
      <c r="I9" s="129">
        <f>'INTERSEÇÃO - km 746+320'!N47</f>
        <v>96981.551325000008</v>
      </c>
      <c r="L9" s="154" t="s">
        <v>108</v>
      </c>
      <c r="M9" s="180">
        <f>'INTERSEÇÃO - km 713+700'!N41</f>
        <v>23784.219169998461</v>
      </c>
      <c r="N9" s="180">
        <f t="shared" si="1"/>
        <v>3091.49651000007</v>
      </c>
      <c r="O9" s="180">
        <f>'INTERSEÇÃO - km 713+700'!P41</f>
        <v>20692.722659998391</v>
      </c>
      <c r="R9" s="176" t="str">
        <f>A9</f>
        <v>INTERSEÇÃO - km 746+320 SORRISO</v>
      </c>
      <c r="S9" s="179">
        <f>I9</f>
        <v>96981.551325000008</v>
      </c>
    </row>
    <row r="10" spans="1:19" x14ac:dyDescent="0.25">
      <c r="I10" s="94"/>
      <c r="L10" s="154" t="s">
        <v>109</v>
      </c>
      <c r="M10" s="180">
        <f>'INTERSEÇÃO - km 746+320'!N24</f>
        <v>76446.17</v>
      </c>
      <c r="N10" s="180">
        <f>M10-O10</f>
        <v>0</v>
      </c>
      <c r="O10" s="180">
        <f>'INTERSEÇÃO - km 746+320'!N24</f>
        <v>76446.17</v>
      </c>
      <c r="R10" s="176" t="s">
        <v>98</v>
      </c>
      <c r="S10" s="179">
        <f>SUM(S4:S9)</f>
        <v>296232.03398499836</v>
      </c>
    </row>
    <row r="11" spans="1:19" x14ac:dyDescent="0.25">
      <c r="H11" s="94">
        <f>SUM('[2]RESUMO DE VOLUMES'!$I$5:$I$7)</f>
        <v>173978.1</v>
      </c>
      <c r="I11" s="94">
        <f>H11-H12</f>
        <v>23604.899999999994</v>
      </c>
      <c r="L11" s="154" t="s">
        <v>110</v>
      </c>
      <c r="M11" s="180">
        <f>'INTERSEÇÃO - km 746+320'!N38</f>
        <v>20535.381325000002</v>
      </c>
      <c r="N11" s="180">
        <f t="shared" si="1"/>
        <v>0</v>
      </c>
      <c r="O11" s="180">
        <f>'INTERSEÇÃO - km 746+320'!N38</f>
        <v>20535.381325000002</v>
      </c>
    </row>
    <row r="12" spans="1:19" x14ac:dyDescent="0.25">
      <c r="H12" s="94">
        <f>SUM('[1]RESUMO DE VOLUMES'!$I$5:$I$7)</f>
        <v>150373.20000000001</v>
      </c>
      <c r="I12" s="94"/>
      <c r="L12" s="154" t="s">
        <v>111</v>
      </c>
      <c r="M12" s="180">
        <f>'INTERSEÇÃO - km 746+320'!N46</f>
        <v>1344.4306400000658</v>
      </c>
      <c r="N12" s="180">
        <f>M12-O12</f>
        <v>0</v>
      </c>
      <c r="O12" s="180">
        <f>'INTERSEÇÃO - km 746+320'!P46</f>
        <v>1344.4306400000658</v>
      </c>
    </row>
    <row r="13" spans="1:19" x14ac:dyDescent="0.25">
      <c r="H13" s="94">
        <f>SUM(I5:I7)</f>
        <v>129088.56</v>
      </c>
      <c r="L13" s="154" t="s">
        <v>112</v>
      </c>
      <c r="M13" s="180">
        <f>'nv. greide SEGMENTO-03'!M24</f>
        <v>1329.9969000000001</v>
      </c>
      <c r="N13" s="180">
        <f>M13-O13</f>
        <v>0</v>
      </c>
      <c r="O13" s="180">
        <f>'nv. greide SEGMENTO-03'!O24</f>
        <v>1329.9969000000001</v>
      </c>
    </row>
    <row r="14" spans="1:19" x14ac:dyDescent="0.25">
      <c r="H14" s="94">
        <f>H12-H13</f>
        <v>21284.640000000014</v>
      </c>
      <c r="L14" s="40"/>
      <c r="M14" s="40"/>
      <c r="N14" s="40"/>
      <c r="O14" s="40"/>
    </row>
    <row r="15" spans="1:19" x14ac:dyDescent="0.25">
      <c r="L15" s="154" t="s">
        <v>100</v>
      </c>
      <c r="M15" s="154" t="s">
        <v>101</v>
      </c>
      <c r="N15" s="154" t="s">
        <v>102</v>
      </c>
      <c r="O15" s="154" t="s">
        <v>103</v>
      </c>
    </row>
    <row r="16" spans="1:19" x14ac:dyDescent="0.25">
      <c r="L16" s="154" t="s">
        <v>113</v>
      </c>
      <c r="M16" s="180">
        <f>SUM(M5:M7)</f>
        <v>307382.91021557682</v>
      </c>
      <c r="N16" s="180">
        <f t="shared" ref="N16:O16" si="2">SUM(N5:N7)</f>
        <v>178294.35021557682</v>
      </c>
      <c r="O16" s="180">
        <f t="shared" si="2"/>
        <v>129088.56</v>
      </c>
    </row>
    <row r="17" spans="12:16" x14ac:dyDescent="0.25">
      <c r="L17" s="154" t="s">
        <v>114</v>
      </c>
      <c r="M17" s="180">
        <f>SUM(M8:M9)</f>
        <v>87359.320929998183</v>
      </c>
      <c r="N17" s="180">
        <f t="shared" ref="N17:O17" si="3">SUM(N8:N9)</f>
        <v>17197.398269999794</v>
      </c>
      <c r="O17" s="180">
        <f t="shared" si="3"/>
        <v>70161.922659998381</v>
      </c>
    </row>
    <row r="18" spans="12:16" x14ac:dyDescent="0.25">
      <c r="L18" s="154" t="s">
        <v>115</v>
      </c>
      <c r="M18" s="180">
        <f>SUM(M10:M11)</f>
        <v>96981.551325000008</v>
      </c>
      <c r="N18" s="180">
        <f t="shared" ref="N18:O18" si="4">SUM(N10:N11)</f>
        <v>0</v>
      </c>
      <c r="O18" s="180">
        <f t="shared" si="4"/>
        <v>96981.551325000008</v>
      </c>
    </row>
    <row r="19" spans="12:16" x14ac:dyDescent="0.25">
      <c r="L19" s="154" t="s">
        <v>116</v>
      </c>
      <c r="M19" s="180">
        <f>SUM(M12:M13)</f>
        <v>2674.4275400000661</v>
      </c>
      <c r="N19" s="180">
        <f t="shared" ref="N19:O19" si="5">SUM(N12:N13)</f>
        <v>0</v>
      </c>
      <c r="O19" s="180">
        <f t="shared" si="5"/>
        <v>2674.4275400000661</v>
      </c>
    </row>
    <row r="20" spans="12:16" x14ac:dyDescent="0.25">
      <c r="L20" s="154" t="s">
        <v>117</v>
      </c>
      <c r="M20" s="180">
        <f>SUM(M16:M19)</f>
        <v>494398.21001057507</v>
      </c>
      <c r="N20" s="180">
        <f t="shared" ref="N20:O20" si="6">SUM(N16:N19)</f>
        <v>195491.74848557662</v>
      </c>
      <c r="O20" s="180">
        <f t="shared" si="6"/>
        <v>298906.46152499842</v>
      </c>
    </row>
    <row r="21" spans="12:16" x14ac:dyDescent="0.25">
      <c r="P21" s="181"/>
    </row>
    <row r="23" spans="12:16" x14ac:dyDescent="0.25">
      <c r="N23" s="181"/>
    </row>
    <row r="24" spans="12:16" x14ac:dyDescent="0.25">
      <c r="N24" s="94"/>
    </row>
    <row r="26" spans="12:16" x14ac:dyDescent="0.25">
      <c r="O26" s="181"/>
    </row>
    <row r="28" spans="12:16" x14ac:dyDescent="0.25">
      <c r="M28" s="181"/>
    </row>
    <row r="29" spans="12:16" x14ac:dyDescent="0.25">
      <c r="M29" s="181"/>
    </row>
    <row r="30" spans="12:16" x14ac:dyDescent="0.25">
      <c r="M30" s="181"/>
    </row>
    <row r="31" spans="12:16" x14ac:dyDescent="0.25">
      <c r="M31" s="181"/>
    </row>
    <row r="32" spans="12:16" x14ac:dyDescent="0.25">
      <c r="M32" s="181"/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Luciana Aparecida Fioramonte Vilas Boas</cp:lastModifiedBy>
  <cp:lastPrinted>2026-06-22T14:10:00Z</cp:lastPrinted>
  <dcterms:created xsi:type="dcterms:W3CDTF">2026-02-25T15:09:39Z</dcterms:created>
  <dcterms:modified xsi:type="dcterms:W3CDTF">2026-08-19T12:58:02Z</dcterms:modified>
</cp:coreProperties>
</file>