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chestripolonicombr-my.sharepoint.com/personal/kamilabarroso_tripoloni_com/Documents/421 - LRV_SORRISO/00-PLANEJAMENTO/09 - Seção Técnica/03 - Volumes dos trechos/"/>
    </mc:Choice>
  </mc:AlternateContent>
  <xr:revisionPtr revIDLastSave="0" documentId="13_ncr:1_{7FF3992C-C46B-4D38-9D93-B6E73B2A8706}" xr6:coauthVersionLast="47" xr6:coauthVersionMax="47" xr10:uidLastSave="{00000000-0000-0000-0000-000000000000}"/>
  <bookViews>
    <workbookView xWindow="20370" yWindow="-120" windowWidth="29040" windowHeight="15720" firstSheet="2" activeTab="5" xr2:uid="{CA567A15-7DB7-4BAA-A3AC-3FF36DCF966B}"/>
  </bookViews>
  <sheets>
    <sheet name="SEGMENTO-01" sheetId="1" r:id="rId1"/>
    <sheet name="SEGMENTO-02" sheetId="2" r:id="rId2"/>
    <sheet name="nv. greide SEGMENTO-03" sheetId="3" r:id="rId3"/>
    <sheet name="INTERSEÇÃO - km 713+700" sheetId="4" r:id="rId4"/>
    <sheet name="INTERSEÇÃO - km 746+320" sheetId="5" r:id="rId5"/>
    <sheet name="RESUMO DE VOLUMES" sheetId="6" r:id="rId6"/>
  </sheets>
  <definedNames>
    <definedName name="_xlnm._FilterDatabase" localSheetId="4" hidden="1">'INTERSEÇÃO - km 746+320'!$P$1:$AE$47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6" l="1"/>
  <c r="M13" i="6"/>
  <c r="O12" i="6"/>
  <c r="M19" i="6"/>
  <c r="M12" i="6"/>
  <c r="M11" i="6"/>
  <c r="O11" i="6"/>
  <c r="O10" i="6"/>
  <c r="O18" i="6" s="1"/>
  <c r="M10" i="6"/>
  <c r="M8" i="3"/>
  <c r="N39" i="4"/>
  <c r="N22" i="4"/>
  <c r="N23" i="4"/>
  <c r="O24" i="3"/>
  <c r="O13" i="6" s="1"/>
  <c r="M15" i="2"/>
  <c r="N11" i="6"/>
  <c r="N10" i="6"/>
  <c r="M18" i="6"/>
  <c r="N12" i="6"/>
  <c r="N13" i="6" l="1"/>
  <c r="N19" i="6" s="1"/>
  <c r="O19" i="6"/>
  <c r="N18" i="6"/>
  <c r="I9" i="6" l="1"/>
  <c r="O18" i="3" l="1"/>
  <c r="O7" i="6" l="1"/>
  <c r="O25" i="3"/>
  <c r="M18" i="3"/>
  <c r="M7" i="6" s="1"/>
  <c r="N7" i="6" s="1"/>
  <c r="P41" i="4"/>
  <c r="O9" i="6" s="1"/>
  <c r="N40" i="4"/>
  <c r="N38" i="4"/>
  <c r="N37" i="4"/>
  <c r="N36" i="4"/>
  <c r="AB24" i="5" l="1"/>
  <c r="AC19" i="5"/>
  <c r="AE25" i="5"/>
  <c r="AD25" i="5"/>
  <c r="AB46" i="5"/>
  <c r="AA46" i="5"/>
  <c r="Z46" i="5"/>
  <c r="Y46" i="5"/>
  <c r="X46" i="5"/>
  <c r="P46" i="5"/>
  <c r="AC45" i="5"/>
  <c r="W45" i="5"/>
  <c r="AC44" i="5"/>
  <c r="W44" i="5"/>
  <c r="AC43" i="5"/>
  <c r="W43" i="5"/>
  <c r="AC42" i="5"/>
  <c r="W42" i="5"/>
  <c r="AC41" i="5"/>
  <c r="W41" i="5"/>
  <c r="AC40" i="5"/>
  <c r="W40" i="5"/>
  <c r="AB38" i="5"/>
  <c r="AA38" i="5"/>
  <c r="Z38" i="5"/>
  <c r="Y38" i="5"/>
  <c r="X38" i="5"/>
  <c r="P38" i="5"/>
  <c r="AC37" i="5"/>
  <c r="W37" i="5"/>
  <c r="AC36" i="5"/>
  <c r="W36" i="5"/>
  <c r="AC35" i="5"/>
  <c r="W35" i="5"/>
  <c r="AC34" i="5"/>
  <c r="W34" i="5"/>
  <c r="AC33" i="5"/>
  <c r="W33" i="5"/>
  <c r="AC32" i="5"/>
  <c r="W32" i="5"/>
  <c r="AC31" i="5"/>
  <c r="W31" i="5"/>
  <c r="AC30" i="5"/>
  <c r="W30" i="5"/>
  <c r="AC29" i="5"/>
  <c r="W29" i="5"/>
  <c r="AC28" i="5"/>
  <c r="W28" i="5"/>
  <c r="AC27" i="5"/>
  <c r="W27" i="5"/>
  <c r="AC26" i="5"/>
  <c r="W26" i="5"/>
  <c r="AA24" i="5"/>
  <c r="Y24" i="5"/>
  <c r="X24" i="5"/>
  <c r="P24" i="5"/>
  <c r="AC23" i="5"/>
  <c r="W23" i="5"/>
  <c r="AC22" i="5"/>
  <c r="W22" i="5"/>
  <c r="AC21" i="5"/>
  <c r="W21" i="5"/>
  <c r="AC20" i="5"/>
  <c r="W20" i="5"/>
  <c r="W19" i="5"/>
  <c r="AC18" i="5"/>
  <c r="W18" i="5"/>
  <c r="AC17" i="5"/>
  <c r="W17" i="5"/>
  <c r="AC16" i="5"/>
  <c r="W16" i="5"/>
  <c r="AC15" i="5"/>
  <c r="W15" i="5"/>
  <c r="AC14" i="5"/>
  <c r="W14" i="5"/>
  <c r="AC13" i="5"/>
  <c r="W13" i="5"/>
  <c r="AC12" i="5"/>
  <c r="W12" i="5"/>
  <c r="AC11" i="5"/>
  <c r="W11" i="5"/>
  <c r="AC10" i="5"/>
  <c r="W10" i="5"/>
  <c r="AC9" i="5"/>
  <c r="W9" i="5"/>
  <c r="AC8" i="5"/>
  <c r="W8" i="5"/>
  <c r="AC7" i="5"/>
  <c r="W7" i="5"/>
  <c r="X47" i="5" l="1"/>
  <c r="Y47" i="5"/>
  <c r="AC38" i="5"/>
  <c r="Z24" i="5"/>
  <c r="Z47" i="5" s="1"/>
  <c r="AC46" i="5"/>
  <c r="AA47" i="5"/>
  <c r="AB47" i="5"/>
  <c r="K26" i="6"/>
  <c r="K31" i="6"/>
  <c r="K30" i="6"/>
  <c r="K29" i="6"/>
  <c r="K28" i="6"/>
  <c r="K27" i="6"/>
  <c r="S15" i="2"/>
  <c r="O6" i="6" s="1"/>
  <c r="P15" i="2"/>
  <c r="O15" i="2"/>
  <c r="M6" i="6"/>
  <c r="L15" i="2"/>
  <c r="K15" i="2"/>
  <c r="J15" i="2"/>
  <c r="I15" i="2"/>
  <c r="AA17" i="2"/>
  <c r="AA19" i="2" s="1"/>
  <c r="L28" i="6" s="1"/>
  <c r="AA18" i="2"/>
  <c r="AA16" i="2"/>
  <c r="P14" i="2"/>
  <c r="Q14" i="2"/>
  <c r="H14" i="2"/>
  <c r="AA8" i="2"/>
  <c r="AA9" i="2"/>
  <c r="AA12" i="2" s="1"/>
  <c r="AA10" i="2"/>
  <c r="AA7" i="2"/>
  <c r="H11" i="2"/>
  <c r="H8" i="3"/>
  <c r="W10" i="3"/>
  <c r="W11" i="3"/>
  <c r="W12" i="3"/>
  <c r="W13" i="3"/>
  <c r="W14" i="3"/>
  <c r="W18" i="3" s="1"/>
  <c r="I7" i="6" s="1"/>
  <c r="W15" i="3"/>
  <c r="W16" i="3"/>
  <c r="W17" i="3"/>
  <c r="W9" i="3"/>
  <c r="N6" i="6" l="1"/>
  <c r="AC24" i="5"/>
  <c r="AC47" i="5" s="1"/>
  <c r="L27" i="6"/>
  <c r="M27" i="6" s="1"/>
  <c r="O41" i="4"/>
  <c r="O42" i="4" s="1"/>
  <c r="P2" i="4"/>
  <c r="P24" i="4"/>
  <c r="O8" i="6" s="1"/>
  <c r="O17" i="6" s="1"/>
  <c r="N18" i="4"/>
  <c r="H18" i="4"/>
  <c r="O2" i="3"/>
  <c r="S2" i="2"/>
  <c r="M13" i="3"/>
  <c r="M17" i="3"/>
  <c r="P42" i="4" l="1"/>
  <c r="H7" i="6"/>
  <c r="H6" i="6"/>
  <c r="H5" i="6"/>
  <c r="M9" i="3"/>
  <c r="N9" i="3" s="1"/>
  <c r="M10" i="3"/>
  <c r="N10" i="3" s="1"/>
  <c r="M11" i="3"/>
  <c r="N11" i="3" s="1"/>
  <c r="M12" i="3"/>
  <c r="M14" i="3"/>
  <c r="M15" i="3"/>
  <c r="M16" i="3"/>
  <c r="M7" i="3"/>
  <c r="H16" i="3"/>
  <c r="I45" i="3"/>
  <c r="I8" i="6" l="1"/>
  <c r="L29" i="6"/>
  <c r="M49" i="5"/>
  <c r="L30" i="6" l="1"/>
  <c r="R14" i="1"/>
  <c r="R19" i="1"/>
  <c r="H7" i="3"/>
  <c r="H9" i="3"/>
  <c r="H10" i="3"/>
  <c r="H11" i="3"/>
  <c r="H12" i="3"/>
  <c r="H13" i="3"/>
  <c r="R28" i="1"/>
  <c r="R27" i="1"/>
  <c r="R26" i="1"/>
  <c r="H28" i="1"/>
  <c r="H27" i="1"/>
  <c r="H26" i="1"/>
  <c r="N10" i="1"/>
  <c r="H10" i="1"/>
  <c r="H23" i="1"/>
  <c r="N8" i="1"/>
  <c r="O26" i="1" l="1"/>
  <c r="Q26" i="1" s="1"/>
  <c r="O27" i="1"/>
  <c r="Q27" i="1" s="1"/>
  <c r="O28" i="1"/>
  <c r="Q28" i="1" s="1"/>
  <c r="S29" i="1"/>
  <c r="H21" i="1"/>
  <c r="H16" i="1"/>
  <c r="H13" i="1"/>
  <c r="H8" i="1"/>
  <c r="I5" i="6" l="1"/>
  <c r="O5" i="6"/>
  <c r="O16" i="6" s="1"/>
  <c r="O20" i="6" s="1"/>
  <c r="R24" i="1"/>
  <c r="P8" i="2"/>
  <c r="P9" i="2"/>
  <c r="P10" i="2"/>
  <c r="P12" i="2"/>
  <c r="P13" i="2"/>
  <c r="P7" i="2"/>
  <c r="L26" i="6" l="1"/>
  <c r="I6" i="6"/>
  <c r="I10" i="6" s="1"/>
  <c r="A15" i="2"/>
  <c r="H13" i="2"/>
  <c r="H12" i="2"/>
  <c r="H10" i="2"/>
  <c r="H9" i="2"/>
  <c r="H8" i="2"/>
  <c r="H7" i="2"/>
  <c r="Q13" i="2"/>
  <c r="Q12" i="2"/>
  <c r="Q10" i="2"/>
  <c r="Q9" i="2"/>
  <c r="Q8" i="2"/>
  <c r="Q7" i="2"/>
  <c r="P29" i="1"/>
  <c r="Q12" i="1" l="1"/>
  <c r="O14" i="1"/>
  <c r="Q14" i="1" s="1"/>
  <c r="O17" i="1"/>
  <c r="Q17" i="1" s="1"/>
  <c r="O18" i="1"/>
  <c r="Q18" i="1" s="1"/>
  <c r="O19" i="1"/>
  <c r="Q19" i="1" s="1"/>
  <c r="O22" i="1"/>
  <c r="Q22" i="1" s="1"/>
  <c r="O24" i="1"/>
  <c r="Q24" i="1" s="1"/>
  <c r="O25" i="1"/>
  <c r="Q25" i="1" s="1"/>
  <c r="L29" i="1"/>
  <c r="O11" i="1" l="1"/>
  <c r="Q11" i="1"/>
  <c r="O7" i="1"/>
  <c r="Q7" i="1"/>
  <c r="O15" i="1"/>
  <c r="Q15" i="1" s="1"/>
  <c r="O12" i="1"/>
  <c r="O20" i="1"/>
  <c r="Q20" i="1" s="1"/>
  <c r="O9" i="1"/>
  <c r="Q9" i="1" s="1"/>
  <c r="M29" i="1"/>
  <c r="M5" i="6" s="1"/>
  <c r="M16" i="6" l="1"/>
  <c r="N5" i="6"/>
  <c r="N16" i="6" s="1"/>
  <c r="O29" i="1"/>
  <c r="N10" i="4" l="1"/>
  <c r="N20" i="5" l="1"/>
  <c r="AD20" i="5" s="1"/>
  <c r="AE20" i="5" s="1"/>
  <c r="N21" i="5"/>
  <c r="AD21" i="5" s="1"/>
  <c r="AE21" i="5" s="1"/>
  <c r="N22" i="5"/>
  <c r="AD22" i="5" s="1"/>
  <c r="AE22" i="5" s="1"/>
  <c r="N23" i="5"/>
  <c r="AD23" i="5" s="1"/>
  <c r="AE23" i="5" s="1"/>
  <c r="K24" i="5"/>
  <c r="H23" i="5"/>
  <c r="H22" i="5"/>
  <c r="H21" i="5"/>
  <c r="H20" i="5"/>
  <c r="K24" i="4"/>
  <c r="H23" i="4"/>
  <c r="H22" i="4"/>
  <c r="N21" i="4"/>
  <c r="H21" i="4"/>
  <c r="N20" i="4"/>
  <c r="H20" i="4"/>
  <c r="N19" i="4"/>
  <c r="H19" i="4"/>
  <c r="H41" i="5" l="1"/>
  <c r="H42" i="5"/>
  <c r="H43" i="5"/>
  <c r="H44" i="5"/>
  <c r="H45" i="5"/>
  <c r="L46" i="5"/>
  <c r="M46" i="5"/>
  <c r="K46" i="5"/>
  <c r="J46" i="5"/>
  <c r="I46" i="5"/>
  <c r="A46" i="5"/>
  <c r="N45" i="5"/>
  <c r="N44" i="5"/>
  <c r="N43" i="5"/>
  <c r="N42" i="5"/>
  <c r="N41" i="5"/>
  <c r="N40" i="5"/>
  <c r="H40" i="5"/>
  <c r="N46" i="5" l="1"/>
  <c r="M21" i="3"/>
  <c r="M22" i="3"/>
  <c r="M23" i="3"/>
  <c r="M20" i="3"/>
  <c r="N27" i="4"/>
  <c r="N28" i="4"/>
  <c r="N29" i="4"/>
  <c r="N30" i="4"/>
  <c r="N31" i="4"/>
  <c r="N32" i="4"/>
  <c r="N33" i="4"/>
  <c r="N34" i="4"/>
  <c r="N35" i="4"/>
  <c r="N26" i="4"/>
  <c r="N8" i="4"/>
  <c r="N9" i="4"/>
  <c r="N11" i="4"/>
  <c r="N12" i="4"/>
  <c r="N13" i="4"/>
  <c r="N14" i="4"/>
  <c r="N15" i="4"/>
  <c r="N16" i="4"/>
  <c r="N17" i="4"/>
  <c r="N7" i="4"/>
  <c r="N27" i="5"/>
  <c r="AD27" i="5" s="1"/>
  <c r="AE27" i="5" s="1"/>
  <c r="N28" i="5"/>
  <c r="AD28" i="5" s="1"/>
  <c r="AE28" i="5" s="1"/>
  <c r="N29" i="5"/>
  <c r="AD29" i="5" s="1"/>
  <c r="AE29" i="5" s="1"/>
  <c r="N30" i="5"/>
  <c r="AD30" i="5" s="1"/>
  <c r="AE30" i="5" s="1"/>
  <c r="N31" i="5"/>
  <c r="AD31" i="5" s="1"/>
  <c r="AE31" i="5" s="1"/>
  <c r="N32" i="5"/>
  <c r="AD32" i="5" s="1"/>
  <c r="AE32" i="5" s="1"/>
  <c r="N33" i="5"/>
  <c r="AD33" i="5" s="1"/>
  <c r="AE33" i="5" s="1"/>
  <c r="N34" i="5"/>
  <c r="AD34" i="5" s="1"/>
  <c r="AE34" i="5" s="1"/>
  <c r="N35" i="5"/>
  <c r="AD35" i="5" s="1"/>
  <c r="AE35" i="5" s="1"/>
  <c r="N36" i="5"/>
  <c r="AD36" i="5" s="1"/>
  <c r="AE36" i="5" s="1"/>
  <c r="N37" i="5"/>
  <c r="AD37" i="5" s="1"/>
  <c r="AE37" i="5" s="1"/>
  <c r="N26" i="5"/>
  <c r="AD26" i="5" s="1"/>
  <c r="AE26" i="5" s="1"/>
  <c r="N8" i="5"/>
  <c r="AD8" i="5" s="1"/>
  <c r="AE8" i="5" s="1"/>
  <c r="N9" i="5"/>
  <c r="AD9" i="5" s="1"/>
  <c r="AE9" i="5" s="1"/>
  <c r="N10" i="5"/>
  <c r="AD10" i="5" s="1"/>
  <c r="AE10" i="5" s="1"/>
  <c r="N11" i="5"/>
  <c r="AD11" i="5" s="1"/>
  <c r="AE11" i="5" s="1"/>
  <c r="N12" i="5"/>
  <c r="AD12" i="5" s="1"/>
  <c r="AE12" i="5" s="1"/>
  <c r="N13" i="5"/>
  <c r="AD13" i="5" s="1"/>
  <c r="AE13" i="5" s="1"/>
  <c r="N14" i="5"/>
  <c r="AD14" i="5" s="1"/>
  <c r="AE14" i="5" s="1"/>
  <c r="N15" i="5"/>
  <c r="AD15" i="5" s="1"/>
  <c r="AE15" i="5" s="1"/>
  <c r="N16" i="5"/>
  <c r="AD16" i="5" s="1"/>
  <c r="AE16" i="5" s="1"/>
  <c r="N17" i="5"/>
  <c r="AD17" i="5" s="1"/>
  <c r="AE17" i="5" s="1"/>
  <c r="N18" i="5"/>
  <c r="AD18" i="5" s="1"/>
  <c r="AE18" i="5" s="1"/>
  <c r="N19" i="5"/>
  <c r="AD19" i="5" s="1"/>
  <c r="AE19" i="5" s="1"/>
  <c r="N7" i="5"/>
  <c r="AD7" i="5" s="1"/>
  <c r="AE7" i="5" s="1"/>
  <c r="H27" i="5"/>
  <c r="H28" i="5"/>
  <c r="H29" i="5"/>
  <c r="H30" i="5"/>
  <c r="H31" i="5"/>
  <c r="H32" i="5"/>
  <c r="H33" i="5"/>
  <c r="H34" i="5"/>
  <c r="H35" i="5"/>
  <c r="H36" i="5"/>
  <c r="H37" i="5"/>
  <c r="H26" i="5"/>
  <c r="H8" i="5"/>
  <c r="H9" i="5"/>
  <c r="H10" i="5"/>
  <c r="H11" i="5"/>
  <c r="H12" i="5"/>
  <c r="H13" i="5"/>
  <c r="H14" i="5"/>
  <c r="H15" i="5"/>
  <c r="H16" i="5"/>
  <c r="H17" i="5"/>
  <c r="H18" i="5"/>
  <c r="H19" i="5"/>
  <c r="H7" i="5"/>
  <c r="A38" i="5"/>
  <c r="A24" i="5"/>
  <c r="N24" i="4" l="1"/>
  <c r="M8" i="6" s="1"/>
  <c r="L38" i="5"/>
  <c r="I38" i="5"/>
  <c r="M38" i="5"/>
  <c r="J38" i="5"/>
  <c r="I24" i="5"/>
  <c r="K38" i="5"/>
  <c r="L24" i="5"/>
  <c r="J24" i="5"/>
  <c r="M24" i="5"/>
  <c r="N8" i="6" l="1"/>
  <c r="N24" i="5"/>
  <c r="AD24" i="5" s="1"/>
  <c r="AE24" i="5" s="1"/>
  <c r="K47" i="5"/>
  <c r="L47" i="5"/>
  <c r="I47" i="5"/>
  <c r="M47" i="5"/>
  <c r="J47" i="5"/>
  <c r="N38" i="5"/>
  <c r="AD38" i="5" s="1"/>
  <c r="AE38" i="5" s="1"/>
  <c r="N47" i="5" l="1"/>
  <c r="L31" i="6" s="1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26" i="4"/>
  <c r="H8" i="4"/>
  <c r="H9" i="4"/>
  <c r="H10" i="4"/>
  <c r="H11" i="4"/>
  <c r="H12" i="4"/>
  <c r="H13" i="4"/>
  <c r="H14" i="4"/>
  <c r="H15" i="4"/>
  <c r="H16" i="4"/>
  <c r="H17" i="4"/>
  <c r="H7" i="4"/>
  <c r="A41" i="4"/>
  <c r="A24" i="4"/>
  <c r="L32" i="6" l="1"/>
  <c r="I41" i="4"/>
  <c r="I42" i="4" s="1"/>
  <c r="K41" i="4"/>
  <c r="K42" i="4" s="1"/>
  <c r="J24" i="4"/>
  <c r="L24" i="4"/>
  <c r="L41" i="4"/>
  <c r="M41" i="4"/>
  <c r="J41" i="4"/>
  <c r="L42" i="4" l="1"/>
  <c r="J42" i="4"/>
  <c r="M24" i="4"/>
  <c r="M42" i="4" s="1"/>
  <c r="N41" i="4"/>
  <c r="M9" i="6" s="1"/>
  <c r="N9" i="6" l="1"/>
  <c r="N17" i="6" s="1"/>
  <c r="N20" i="6" s="1"/>
  <c r="M17" i="6"/>
  <c r="N42" i="4"/>
  <c r="I24" i="3" l="1"/>
  <c r="J24" i="3"/>
  <c r="K24" i="3"/>
  <c r="L24" i="3"/>
  <c r="A24" i="3"/>
  <c r="I18" i="3"/>
  <c r="J18" i="3"/>
  <c r="K18" i="3"/>
  <c r="K25" i="3" s="1"/>
  <c r="L18" i="3"/>
  <c r="H14" i="3"/>
  <c r="H15" i="3"/>
  <c r="H17" i="3"/>
  <c r="L25" i="3" l="1"/>
  <c r="J25" i="3"/>
  <c r="I25" i="3"/>
  <c r="M24" i="3"/>
  <c r="M25" i="3" s="1"/>
  <c r="A18" i="3" l="1"/>
  <c r="H12" i="1" l="1"/>
  <c r="H14" i="1"/>
  <c r="H15" i="1"/>
  <c r="H17" i="1"/>
  <c r="H18" i="1"/>
  <c r="H19" i="1"/>
  <c r="H20" i="1"/>
  <c r="H22" i="1"/>
  <c r="H24" i="1"/>
  <c r="H25" i="1"/>
  <c r="H9" i="1"/>
  <c r="A29" i="1"/>
  <c r="H11" i="1"/>
  <c r="H7" i="1"/>
  <c r="I29" i="1" l="1"/>
  <c r="J29" i="1"/>
  <c r="K29" i="1"/>
</calcChain>
</file>

<file path=xl/sharedStrings.xml><?xml version="1.0" encoding="utf-8"?>
<sst xmlns="http://schemas.openxmlformats.org/spreadsheetml/2006/main" count="707" uniqueCount="128">
  <si>
    <t>RESUMO DA TERRAPLENAGEM POR EIXO DE PROJETO</t>
  </si>
  <si>
    <t>Projeto:1095 km 701+000 ao km714+000</t>
  </si>
  <si>
    <t>BR-163/MT</t>
  </si>
  <si>
    <t>ATUALIZAÇÃO :</t>
  </si>
  <si>
    <t>Localização</t>
  </si>
  <si>
    <t>Estaca</t>
  </si>
  <si>
    <t>Extensão              
(m)</t>
  </si>
  <si>
    <t>Volumes</t>
  </si>
  <si>
    <t>agosto</t>
  </si>
  <si>
    <t>Escavação</t>
  </si>
  <si>
    <t>PRIMITIVO</t>
  </si>
  <si>
    <t>EXECUTADO</t>
  </si>
  <si>
    <t>Saldo Total Aterro
(m³)</t>
  </si>
  <si>
    <t>Início</t>
  </si>
  <si>
    <t>Final</t>
  </si>
  <si>
    <t>Corte 1ª            
(m³)</t>
  </si>
  <si>
    <t>Rebaixo do Subleito
(m³)</t>
  </si>
  <si>
    <t>Aterro (Corpo)
(m³)</t>
  </si>
  <si>
    <t>Aterro (Rebaixo do Subleito)
(m³)</t>
  </si>
  <si>
    <t>Total Aterro
(m³)</t>
  </si>
  <si>
    <t xml:space="preserve"> Aterro (Corpo)
(m³)</t>
  </si>
  <si>
    <t>%</t>
  </si>
  <si>
    <t>RODOVIA</t>
  </si>
  <si>
    <t xml:space="preserve"> BR-163-MT-Pista Sul - Duplicação</t>
  </si>
  <si>
    <t>+</t>
  </si>
  <si>
    <t xml:space="preserve"> FALTA EXECUTA  REBAIXO</t>
  </si>
  <si>
    <t>GALERIA.3000X3000</t>
  </si>
  <si>
    <t>SÓ ATERRO</t>
  </si>
  <si>
    <t>GALERIA.3500X3500</t>
  </si>
  <si>
    <t>RETORNO</t>
  </si>
  <si>
    <t>Projeto:1095 km 701+000 ao km713+500</t>
  </si>
  <si>
    <t>vol. seg-03 732+00_736+380 sul</t>
  </si>
  <si>
    <t xml:space="preserve"> BR-163-MT-Pista norte Restauração</t>
  </si>
  <si>
    <t>vol. seg-03 732+000 ao 734+220 norte</t>
  </si>
  <si>
    <t>Projeto:1097 km 736+640 ao km 745+500</t>
  </si>
  <si>
    <t>Compactação</t>
  </si>
  <si>
    <t>Aterro (Acabamento)
(m³)</t>
  </si>
  <si>
    <t>vol. seg-03 736+640_745+515</t>
  </si>
  <si>
    <t>ACESSOS</t>
  </si>
  <si>
    <t>Acesso km 742+440 - RA</t>
  </si>
  <si>
    <t>Acesso km 742+440 - RB</t>
  </si>
  <si>
    <t>Acesso km 743+830 - RA</t>
  </si>
  <si>
    <t>Acesso km 743+830 - RB</t>
  </si>
  <si>
    <t>TOTAL GERAL</t>
  </si>
  <si>
    <t>Projeto:</t>
  </si>
  <si>
    <t>Total Aterro 
(m³)</t>
  </si>
  <si>
    <t>INTERSEÇÃO - km 713+700</t>
  </si>
  <si>
    <t>Ramo 100</t>
  </si>
  <si>
    <t>Ramo 300</t>
  </si>
  <si>
    <t>RA</t>
  </si>
  <si>
    <t>RB</t>
  </si>
  <si>
    <t>RC</t>
  </si>
  <si>
    <t>RD</t>
  </si>
  <si>
    <t>RE</t>
  </si>
  <si>
    <t>RF</t>
  </si>
  <si>
    <t>Rotatória 01</t>
  </si>
  <si>
    <t>Rotatória 02</t>
  </si>
  <si>
    <t>REBAIXOMENTO DO INT.km.713+700 R.100.ENCONTRO-0</t>
  </si>
  <si>
    <t>REBAIXOMENTO DO INT.km.713+700 R.100.ENCONTRO-1</t>
  </si>
  <si>
    <t>REBAIXOMENTO DO INT.km.713+700 R.100.ENCONTRO-2</t>
  </si>
  <si>
    <t>TRAVESSIA URBANA - PRIMAVERA</t>
  </si>
  <si>
    <t>Agulha Norte</t>
  </si>
  <si>
    <t>Marginal Norte</t>
  </si>
  <si>
    <t>MN-Acesso km 713+940 - RA</t>
  </si>
  <si>
    <t>MN-Acesso km 713+940 - RB</t>
  </si>
  <si>
    <t>MN-Acesso km 714+090 - RA</t>
  </si>
  <si>
    <t>MN-Acesso km 714+090 - RB</t>
  </si>
  <si>
    <t>MN-Acesso km 714+270 - RA</t>
  </si>
  <si>
    <t>MN-Acesso km 714+270 - RB</t>
  </si>
  <si>
    <t>Agulha Sul</t>
  </si>
  <si>
    <t>Marginal Sul</t>
  </si>
  <si>
    <t>MS-Acesso km 713+990 - RA</t>
  </si>
  <si>
    <t>MS-Acesso km 713+990 - RB</t>
  </si>
  <si>
    <t>MS-Acesso km 714+270 - RA</t>
  </si>
  <si>
    <t>MS-Acesso km 714+270 - RB</t>
  </si>
  <si>
    <t>MS-Acesso km 715+130 - RA</t>
  </si>
  <si>
    <t>RESUMO DA TERRAPLENAGEM POR EIXO DE PROJETO revisão 01</t>
  </si>
  <si>
    <t>Volume</t>
  </si>
  <si>
    <t>COMPARATIVO</t>
  </si>
  <si>
    <t xml:space="preserve">diferença </t>
  </si>
  <si>
    <t>OBS:</t>
  </si>
  <si>
    <t>INTERSEÇÃO - km 746+320</t>
  </si>
  <si>
    <t>Rodovia BR-163/MT</t>
  </si>
  <si>
    <t>AJUSTE DE GREIDE</t>
  </si>
  <si>
    <t>MUDANÇA DE TN</t>
  </si>
  <si>
    <t>Ramo 200</t>
  </si>
  <si>
    <t>Acesso MT-560-RA</t>
  </si>
  <si>
    <t>Acesso MT-560-RB</t>
  </si>
  <si>
    <t>REBAIXOMENTO DOINTERSEÇÃO - km 746+320</t>
  </si>
  <si>
    <t>NV.ESTUDO DE REIBAIXAMENTO</t>
  </si>
  <si>
    <t>REMOVIDO DO REBAIXAMENTO</t>
  </si>
  <si>
    <t>TRAVESSIA URBANA - SORRISO</t>
  </si>
  <si>
    <t>Marginal Norte - Segmento 01</t>
  </si>
  <si>
    <t>Marginal Norte - Segmento 02</t>
  </si>
  <si>
    <t>MN-Acesso km 745+740 - RA</t>
  </si>
  <si>
    <t>MN-Acesso km 745+740 - RB</t>
  </si>
  <si>
    <t>MN-Acesso km 747+300 - RA</t>
  </si>
  <si>
    <t>MN-Acesso km 747+300 - RB</t>
  </si>
  <si>
    <t>MN-Acesso km 747+300 - RC</t>
  </si>
  <si>
    <t>MS-Acesso km 747+200 - RA</t>
  </si>
  <si>
    <t>MS-Acesso km 747+200 - RB</t>
  </si>
  <si>
    <t>Acesso km 755+250</t>
  </si>
  <si>
    <t>TOTAL -GERAL</t>
  </si>
  <si>
    <t>JUNHO</t>
  </si>
  <si>
    <t>Saldo Terraplanagem</t>
  </si>
  <si>
    <t>Techos</t>
  </si>
  <si>
    <t>Previsto (m³)</t>
  </si>
  <si>
    <t>Executado (m³)</t>
  </si>
  <si>
    <t>Saldo m³</t>
  </si>
  <si>
    <t>Segmento 1</t>
  </si>
  <si>
    <t>Segmento 2</t>
  </si>
  <si>
    <t>Segmento 3</t>
  </si>
  <si>
    <t>INTERSEÇÃO - km 713+700 PRIMAVERA</t>
  </si>
  <si>
    <t>Dispositivo Primavera</t>
  </si>
  <si>
    <t>INTERSEÇÃO - km 746+320 SORRISO</t>
  </si>
  <si>
    <t>Marginais Primavera</t>
  </si>
  <si>
    <t>Dispositivo Sorriso</t>
  </si>
  <si>
    <t>Marginais Sorriso</t>
  </si>
  <si>
    <t>Acesso Km 755</t>
  </si>
  <si>
    <t>Acesso Km 743-742</t>
  </si>
  <si>
    <t>Total dos Segmentos</t>
  </si>
  <si>
    <t>Total de Primavera</t>
  </si>
  <si>
    <t>Total de Sorriso</t>
  </si>
  <si>
    <t>Acessos</t>
  </si>
  <si>
    <t>Volume Total</t>
  </si>
  <si>
    <t>Trecho</t>
  </si>
  <si>
    <t>Saldo Aterro (m³)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</si>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</sst>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#,##0;[Red]#,##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Tahoma"/>
      <family val="2"/>
    </font>
    <font>
      <sz val="9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Calibri"/>
      <family val="2"/>
      <scheme val="minor"/>
    </font>
    <font>
      <sz val="9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8" fillId="0" borderId="0"/>
    <xf numFmtId="0" fontId="9" fillId="0" borderId="0"/>
    <xf numFmtId="9" fontId="9" fillId="0" borderId="0" applyFont="0" applyFill="0" applyBorder="0" applyAlignment="0" applyProtection="0"/>
  </cellStyleXfs>
  <cellXfs count="281">
    <xf numFmtId="0" fontId="0" fillId="0" borderId="0" xfId="0"/>
    <xf numFmtId="0" fontId="3" fillId="2" borderId="4" xfId="1" applyFont="1" applyFill="1" applyBorder="1" applyAlignment="1">
      <alignment horizontal="left" vertical="center"/>
    </xf>
    <xf numFmtId="0" fontId="5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left" vertical="center"/>
    </xf>
    <xf numFmtId="0" fontId="6" fillId="0" borderId="24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164" fontId="6" fillId="0" borderId="26" xfId="1" applyNumberFormat="1" applyFont="1" applyBorder="1" applyAlignment="1">
      <alignment horizontal="center" vertical="center"/>
    </xf>
    <xf numFmtId="165" fontId="6" fillId="0" borderId="24" xfId="1" applyNumberFormat="1" applyFont="1" applyBorder="1" applyAlignment="1">
      <alignment horizontal="center" vertical="center"/>
    </xf>
    <xf numFmtId="165" fontId="6" fillId="0" borderId="27" xfId="1" applyNumberFormat="1" applyFont="1" applyBorder="1" applyAlignment="1">
      <alignment horizontal="center" vertical="center"/>
    </xf>
    <xf numFmtId="165" fontId="6" fillId="0" borderId="28" xfId="1" applyNumberFormat="1" applyFont="1" applyBorder="1" applyAlignment="1">
      <alignment horizontal="center" vertical="center"/>
    </xf>
    <xf numFmtId="0" fontId="7" fillId="4" borderId="29" xfId="1" applyFont="1" applyFill="1" applyBorder="1" applyAlignment="1">
      <alignment vertical="center"/>
    </xf>
    <xf numFmtId="0" fontId="7" fillId="4" borderId="30" xfId="1" applyFont="1" applyFill="1" applyBorder="1" applyAlignment="1">
      <alignment vertical="center"/>
    </xf>
    <xf numFmtId="165" fontId="7" fillId="4" borderId="31" xfId="1" applyNumberFormat="1" applyFont="1" applyFill="1" applyBorder="1" applyAlignment="1">
      <alignment horizontal="center" vertical="center"/>
    </xf>
    <xf numFmtId="165" fontId="7" fillId="4" borderId="33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4" fontId="6" fillId="0" borderId="27" xfId="1" applyNumberFormat="1" applyFont="1" applyBorder="1" applyAlignment="1">
      <alignment horizontal="center" vertical="center"/>
    </xf>
    <xf numFmtId="4" fontId="6" fillId="0" borderId="28" xfId="1" applyNumberFormat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 wrapText="1"/>
    </xf>
    <xf numFmtId="0" fontId="5" fillId="0" borderId="36" xfId="1" applyFont="1" applyBorder="1" applyAlignment="1">
      <alignment horizontal="center" vertical="center" wrapText="1"/>
    </xf>
    <xf numFmtId="0" fontId="6" fillId="0" borderId="37" xfId="1" applyFont="1" applyBorder="1" applyAlignment="1">
      <alignment horizontal="left" vertical="center"/>
    </xf>
    <xf numFmtId="0" fontId="6" fillId="0" borderId="38" xfId="1" applyFont="1" applyBorder="1" applyAlignment="1">
      <alignment horizontal="center" vertical="center"/>
    </xf>
    <xf numFmtId="0" fontId="6" fillId="0" borderId="39" xfId="1" applyFont="1" applyBorder="1" applyAlignment="1">
      <alignment horizontal="center" vertical="center"/>
    </xf>
    <xf numFmtId="164" fontId="6" fillId="0" borderId="40" xfId="1" applyNumberFormat="1" applyFont="1" applyBorder="1" applyAlignment="1">
      <alignment horizontal="center" vertical="center"/>
    </xf>
    <xf numFmtId="165" fontId="6" fillId="0" borderId="38" xfId="1" applyNumberFormat="1" applyFont="1" applyBorder="1" applyAlignment="1">
      <alignment horizontal="center" vertical="center"/>
    </xf>
    <xf numFmtId="165" fontId="6" fillId="0" borderId="41" xfId="1" applyNumberFormat="1" applyFont="1" applyBorder="1" applyAlignment="1">
      <alignment horizontal="center" vertical="center"/>
    </xf>
    <xf numFmtId="4" fontId="6" fillId="0" borderId="41" xfId="1" applyNumberFormat="1" applyFont="1" applyBorder="1" applyAlignment="1">
      <alignment horizontal="center" vertical="center"/>
    </xf>
    <xf numFmtId="4" fontId="6" fillId="0" borderId="42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7" fillId="5" borderId="47" xfId="1" applyFont="1" applyFill="1" applyBorder="1" applyAlignment="1">
      <alignment vertical="center"/>
    </xf>
    <xf numFmtId="0" fontId="7" fillId="5" borderId="25" xfId="1" applyFont="1" applyFill="1" applyBorder="1" applyAlignment="1">
      <alignment vertical="center"/>
    </xf>
    <xf numFmtId="0" fontId="7" fillId="5" borderId="48" xfId="1" applyFont="1" applyFill="1" applyBorder="1" applyAlignment="1">
      <alignment vertical="center"/>
    </xf>
    <xf numFmtId="165" fontId="7" fillId="5" borderId="46" xfId="1" applyNumberFormat="1" applyFont="1" applyFill="1" applyBorder="1" applyAlignment="1">
      <alignment horizontal="center" vertical="center"/>
    </xf>
    <xf numFmtId="2" fontId="6" fillId="0" borderId="26" xfId="1" applyNumberFormat="1" applyFont="1" applyBorder="1" applyAlignment="1">
      <alignment horizontal="center" vertical="center"/>
    </xf>
    <xf numFmtId="1" fontId="6" fillId="0" borderId="26" xfId="1" applyNumberFormat="1" applyFont="1" applyBorder="1" applyAlignment="1">
      <alignment horizontal="center" vertical="center"/>
    </xf>
    <xf numFmtId="4" fontId="10" fillId="6" borderId="49" xfId="1" applyNumberFormat="1" applyFont="1" applyFill="1" applyBorder="1" applyAlignment="1">
      <alignment horizontal="centerContinuous" vertical="center"/>
    </xf>
    <xf numFmtId="0" fontId="5" fillId="0" borderId="5" xfId="1" applyFont="1" applyBorder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horizontal="center"/>
    </xf>
    <xf numFmtId="0" fontId="5" fillId="0" borderId="7" xfId="1" applyFont="1" applyBorder="1" applyAlignment="1">
      <alignment vertical="center" wrapText="1"/>
    </xf>
    <xf numFmtId="0" fontId="4" fillId="2" borderId="5" xfId="1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4" fillId="2" borderId="7" xfId="1" applyFont="1" applyFill="1" applyBorder="1" applyAlignment="1">
      <alignment vertical="center"/>
    </xf>
    <xf numFmtId="0" fontId="0" fillId="0" borderId="54" xfId="0" applyBorder="1" applyAlignment="1">
      <alignment horizontal="center"/>
    </xf>
    <xf numFmtId="0" fontId="5" fillId="0" borderId="54" xfId="1" applyFont="1" applyBorder="1" applyAlignment="1">
      <alignment horizontal="center" vertical="center" wrapText="1"/>
    </xf>
    <xf numFmtId="9" fontId="0" fillId="0" borderId="54" xfId="4" applyFont="1" applyBorder="1" applyAlignment="1">
      <alignment horizontal="center"/>
    </xf>
    <xf numFmtId="0" fontId="0" fillId="0" borderId="55" xfId="0" applyBorder="1"/>
    <xf numFmtId="0" fontId="7" fillId="4" borderId="56" xfId="1" applyFont="1" applyFill="1" applyBorder="1" applyAlignment="1">
      <alignment vertical="center"/>
    </xf>
    <xf numFmtId="0" fontId="7" fillId="4" borderId="55" xfId="1" applyFont="1" applyFill="1" applyBorder="1" applyAlignment="1">
      <alignment vertical="center"/>
    </xf>
    <xf numFmtId="165" fontId="7" fillId="4" borderId="57" xfId="1" applyNumberFormat="1" applyFont="1" applyFill="1" applyBorder="1" applyAlignment="1">
      <alignment horizontal="center" vertical="center"/>
    </xf>
    <xf numFmtId="0" fontId="6" fillId="0" borderId="58" xfId="1" applyFont="1" applyBorder="1" applyAlignment="1">
      <alignment horizontal="left" vertical="center"/>
    </xf>
    <xf numFmtId="0" fontId="6" fillId="0" borderId="59" xfId="1" applyFont="1" applyBorder="1" applyAlignment="1">
      <alignment horizontal="center" vertical="center"/>
    </xf>
    <xf numFmtId="0" fontId="6" fillId="0" borderId="60" xfId="1" applyFont="1" applyBorder="1" applyAlignment="1">
      <alignment horizontal="center" vertical="center"/>
    </xf>
    <xf numFmtId="164" fontId="6" fillId="0" borderId="61" xfId="1" applyNumberFormat="1" applyFont="1" applyBorder="1" applyAlignment="1">
      <alignment horizontal="center" vertical="center"/>
    </xf>
    <xf numFmtId="165" fontId="6" fillId="0" borderId="59" xfId="1" applyNumberFormat="1" applyFont="1" applyBorder="1" applyAlignment="1">
      <alignment horizontal="center" vertical="center"/>
    </xf>
    <xf numFmtId="165" fontId="6" fillId="0" borderId="62" xfId="1" applyNumberFormat="1" applyFont="1" applyBorder="1" applyAlignment="1">
      <alignment horizontal="center" vertical="center"/>
    </xf>
    <xf numFmtId="4" fontId="6" fillId="0" borderId="62" xfId="1" applyNumberFormat="1" applyFont="1" applyBorder="1" applyAlignment="1">
      <alignment horizontal="center" vertical="center"/>
    </xf>
    <xf numFmtId="165" fontId="6" fillId="0" borderId="63" xfId="1" applyNumberFormat="1" applyFont="1" applyBorder="1" applyAlignment="1">
      <alignment horizontal="center" vertical="center"/>
    </xf>
    <xf numFmtId="9" fontId="6" fillId="0" borderId="27" xfId="4" applyFont="1" applyBorder="1" applyAlignment="1">
      <alignment horizontal="center" vertical="center"/>
    </xf>
    <xf numFmtId="9" fontId="6" fillId="0" borderId="27" xfId="4" applyFont="1" applyFill="1" applyBorder="1" applyAlignment="1">
      <alignment horizontal="center" vertical="center"/>
    </xf>
    <xf numFmtId="9" fontId="6" fillId="0" borderId="62" xfId="4" applyFont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0" fontId="6" fillId="5" borderId="25" xfId="1" applyFont="1" applyFill="1" applyBorder="1" applyAlignment="1">
      <alignment horizontal="center" vertical="center"/>
    </xf>
    <xf numFmtId="164" fontId="6" fillId="5" borderId="26" xfId="1" applyNumberFormat="1" applyFont="1" applyFill="1" applyBorder="1" applyAlignment="1">
      <alignment horizontal="center" vertical="center"/>
    </xf>
    <xf numFmtId="165" fontId="6" fillId="5" borderId="24" xfId="1" applyNumberFormat="1" applyFont="1" applyFill="1" applyBorder="1" applyAlignment="1">
      <alignment horizontal="center" vertical="center"/>
    </xf>
    <xf numFmtId="0" fontId="6" fillId="5" borderId="23" xfId="1" applyFont="1" applyFill="1" applyBorder="1" applyAlignment="1">
      <alignment horizontal="left" vertical="center"/>
    </xf>
    <xf numFmtId="165" fontId="6" fillId="5" borderId="27" xfId="1" applyNumberFormat="1" applyFont="1" applyFill="1" applyBorder="1" applyAlignment="1">
      <alignment horizontal="center" vertical="center"/>
    </xf>
    <xf numFmtId="4" fontId="6" fillId="5" borderId="27" xfId="1" applyNumberFormat="1" applyFont="1" applyFill="1" applyBorder="1" applyAlignment="1">
      <alignment horizontal="center" vertical="center"/>
    </xf>
    <xf numFmtId="9" fontId="6" fillId="5" borderId="27" xfId="4" applyFont="1" applyFill="1" applyBorder="1" applyAlignment="1">
      <alignment horizontal="center" vertical="center"/>
    </xf>
    <xf numFmtId="165" fontId="12" fillId="5" borderId="24" xfId="1" applyNumberFormat="1" applyFont="1" applyFill="1" applyBorder="1" applyAlignment="1">
      <alignment horizontal="center" vertical="center"/>
    </xf>
    <xf numFmtId="0" fontId="5" fillId="0" borderId="15" xfId="1" applyFont="1" applyBorder="1" applyAlignment="1">
      <alignment horizontal="center" vertical="center" wrapText="1"/>
    </xf>
    <xf numFmtId="4" fontId="12" fillId="5" borderId="27" xfId="1" applyNumberFormat="1" applyFont="1" applyFill="1" applyBorder="1" applyAlignment="1">
      <alignment horizontal="center" vertical="center"/>
    </xf>
    <xf numFmtId="0" fontId="6" fillId="8" borderId="23" xfId="1" applyFont="1" applyFill="1" applyBorder="1" applyAlignment="1">
      <alignment horizontal="left" vertical="center"/>
    </xf>
    <xf numFmtId="0" fontId="6" fillId="8" borderId="24" xfId="1" applyFont="1" applyFill="1" applyBorder="1" applyAlignment="1">
      <alignment horizontal="center" vertical="center"/>
    </xf>
    <xf numFmtId="0" fontId="6" fillId="8" borderId="25" xfId="1" applyFont="1" applyFill="1" applyBorder="1" applyAlignment="1">
      <alignment horizontal="center" vertical="center"/>
    </xf>
    <xf numFmtId="164" fontId="6" fillId="8" borderId="26" xfId="1" applyNumberFormat="1" applyFont="1" applyFill="1" applyBorder="1" applyAlignment="1">
      <alignment horizontal="center" vertical="center"/>
    </xf>
    <xf numFmtId="165" fontId="6" fillId="8" borderId="24" xfId="1" applyNumberFormat="1" applyFont="1" applyFill="1" applyBorder="1" applyAlignment="1">
      <alignment horizontal="center" vertical="center"/>
    </xf>
    <xf numFmtId="165" fontId="6" fillId="8" borderId="27" xfId="1" applyNumberFormat="1" applyFont="1" applyFill="1" applyBorder="1" applyAlignment="1">
      <alignment horizontal="center" vertical="center"/>
    </xf>
    <xf numFmtId="4" fontId="6" fillId="8" borderId="27" xfId="1" applyNumberFormat="1" applyFont="1" applyFill="1" applyBorder="1" applyAlignment="1">
      <alignment horizontal="center" vertical="center"/>
    </xf>
    <xf numFmtId="4" fontId="6" fillId="8" borderId="28" xfId="1" applyNumberFormat="1" applyFont="1" applyFill="1" applyBorder="1" applyAlignment="1">
      <alignment horizontal="center" vertical="center"/>
    </xf>
    <xf numFmtId="0" fontId="0" fillId="8" borderId="0" xfId="0" applyFill="1"/>
    <xf numFmtId="9" fontId="0" fillId="8" borderId="54" xfId="4" applyFont="1" applyFill="1" applyBorder="1" applyAlignment="1">
      <alignment horizontal="center"/>
    </xf>
    <xf numFmtId="0" fontId="12" fillId="8" borderId="23" xfId="1" applyFont="1" applyFill="1" applyBorder="1" applyAlignment="1">
      <alignment horizontal="left" vertical="center"/>
    </xf>
    <xf numFmtId="0" fontId="12" fillId="8" borderId="24" xfId="1" applyFont="1" applyFill="1" applyBorder="1" applyAlignment="1">
      <alignment horizontal="center" vertical="center"/>
    </xf>
    <xf numFmtId="0" fontId="12" fillId="8" borderId="25" xfId="1" applyFont="1" applyFill="1" applyBorder="1" applyAlignment="1">
      <alignment horizontal="center" vertical="center"/>
    </xf>
    <xf numFmtId="164" fontId="12" fillId="8" borderId="26" xfId="1" applyNumberFormat="1" applyFont="1" applyFill="1" applyBorder="1" applyAlignment="1">
      <alignment horizontal="center" vertical="center"/>
    </xf>
    <xf numFmtId="165" fontId="12" fillId="8" borderId="24" xfId="1" applyNumberFormat="1" applyFont="1" applyFill="1" applyBorder="1" applyAlignment="1">
      <alignment horizontal="center" vertical="center"/>
    </xf>
    <xf numFmtId="165" fontId="12" fillId="8" borderId="27" xfId="1" applyNumberFormat="1" applyFont="1" applyFill="1" applyBorder="1" applyAlignment="1">
      <alignment horizontal="center" vertical="center"/>
    </xf>
    <xf numFmtId="4" fontId="12" fillId="8" borderId="27" xfId="1" applyNumberFormat="1" applyFont="1" applyFill="1" applyBorder="1" applyAlignment="1">
      <alignment horizontal="center" vertical="center"/>
    </xf>
    <xf numFmtId="165" fontId="12" fillId="8" borderId="28" xfId="1" applyNumberFormat="1" applyFont="1" applyFill="1" applyBorder="1" applyAlignment="1">
      <alignment horizontal="center" vertical="center"/>
    </xf>
    <xf numFmtId="165" fontId="6" fillId="8" borderId="28" xfId="1" applyNumberFormat="1" applyFont="1" applyFill="1" applyBorder="1" applyAlignment="1">
      <alignment horizontal="center" vertical="center"/>
    </xf>
    <xf numFmtId="4" fontId="12" fillId="9" borderId="27" xfId="1" applyNumberFormat="1" applyFont="1" applyFill="1" applyBorder="1" applyAlignment="1">
      <alignment horizontal="center" vertical="center"/>
    </xf>
    <xf numFmtId="4" fontId="0" fillId="0" borderId="0" xfId="0" applyNumberFormat="1"/>
    <xf numFmtId="0" fontId="3" fillId="2" borderId="66" xfId="1" applyFont="1" applyFill="1" applyBorder="1" applyAlignment="1">
      <alignment horizontal="left" vertical="center"/>
    </xf>
    <xf numFmtId="0" fontId="4" fillId="2" borderId="67" xfId="1" applyFont="1" applyFill="1" applyBorder="1" applyAlignment="1">
      <alignment vertical="center"/>
    </xf>
    <xf numFmtId="0" fontId="4" fillId="2" borderId="44" xfId="1" applyFont="1" applyFill="1" applyBorder="1" applyAlignment="1">
      <alignment vertical="center"/>
    </xf>
    <xf numFmtId="0" fontId="4" fillId="2" borderId="45" xfId="1" applyFont="1" applyFill="1" applyBorder="1" applyAlignment="1">
      <alignment vertical="center"/>
    </xf>
    <xf numFmtId="4" fontId="0" fillId="0" borderId="0" xfId="0" applyNumberFormat="1" applyAlignment="1">
      <alignment horizontal="center"/>
    </xf>
    <xf numFmtId="4" fontId="6" fillId="0" borderId="0" xfId="1" applyNumberFormat="1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14" fontId="13" fillId="0" borderId="15" xfId="0" applyNumberFormat="1" applyFont="1" applyBorder="1" applyAlignment="1">
      <alignment horizontal="center"/>
    </xf>
    <xf numFmtId="0" fontId="0" fillId="3" borderId="0" xfId="0" applyFill="1"/>
    <xf numFmtId="165" fontId="14" fillId="0" borderId="28" xfId="1" applyNumberFormat="1" applyFont="1" applyBorder="1" applyAlignment="1">
      <alignment horizontal="center" vertical="center"/>
    </xf>
    <xf numFmtId="0" fontId="1" fillId="10" borderId="69" xfId="1" applyFill="1" applyBorder="1" applyAlignment="1">
      <alignment horizontal="center" vertical="center"/>
    </xf>
    <xf numFmtId="164" fontId="1" fillId="10" borderId="69" xfId="1" applyNumberFormat="1" applyFill="1" applyBorder="1" applyAlignment="1">
      <alignment horizontal="center" vertical="center"/>
    </xf>
    <xf numFmtId="165" fontId="1" fillId="10" borderId="69" xfId="1" applyNumberFormat="1" applyFill="1" applyBorder="1" applyAlignment="1">
      <alignment horizontal="center" vertical="center"/>
    </xf>
    <xf numFmtId="0" fontId="1" fillId="11" borderId="69" xfId="1" applyFill="1" applyBorder="1" applyAlignment="1">
      <alignment horizontal="center" vertical="center"/>
    </xf>
    <xf numFmtId="164" fontId="1" fillId="11" borderId="69" xfId="1" applyNumberFormat="1" applyFill="1" applyBorder="1" applyAlignment="1">
      <alignment horizontal="center" vertical="center"/>
    </xf>
    <xf numFmtId="165" fontId="1" fillId="11" borderId="69" xfId="1" applyNumberFormat="1" applyFill="1" applyBorder="1" applyAlignment="1">
      <alignment horizontal="center" vertical="center"/>
    </xf>
    <xf numFmtId="0" fontId="1" fillId="12" borderId="69" xfId="1" applyFill="1" applyBorder="1" applyAlignment="1">
      <alignment horizontal="center" vertical="center"/>
    </xf>
    <xf numFmtId="164" fontId="1" fillId="12" borderId="69" xfId="1" applyNumberFormat="1" applyFill="1" applyBorder="1" applyAlignment="1">
      <alignment horizontal="center" vertical="center"/>
    </xf>
    <xf numFmtId="165" fontId="1" fillId="12" borderId="69" xfId="1" applyNumberFormat="1" applyFill="1" applyBorder="1" applyAlignment="1">
      <alignment horizontal="center" vertical="center"/>
    </xf>
    <xf numFmtId="0" fontId="5" fillId="0" borderId="72" xfId="1" applyFont="1" applyBorder="1" applyAlignment="1">
      <alignment horizontal="center" vertical="center" wrapText="1"/>
    </xf>
    <xf numFmtId="4" fontId="1" fillId="10" borderId="72" xfId="1" applyNumberFormat="1" applyFill="1" applyBorder="1" applyAlignment="1">
      <alignment horizontal="center" vertical="center"/>
    </xf>
    <xf numFmtId="4" fontId="1" fillId="11" borderId="72" xfId="1" applyNumberFormat="1" applyFill="1" applyBorder="1" applyAlignment="1">
      <alignment horizontal="center" vertical="center"/>
    </xf>
    <xf numFmtId="4" fontId="1" fillId="12" borderId="72" xfId="1" applyNumberFormat="1" applyFill="1" applyBorder="1" applyAlignment="1">
      <alignment horizontal="center" vertical="center"/>
    </xf>
    <xf numFmtId="0" fontId="6" fillId="10" borderId="4" xfId="1" applyFont="1" applyFill="1" applyBorder="1" applyAlignment="1">
      <alignment horizontal="center" vertical="center"/>
    </xf>
    <xf numFmtId="0" fontId="6" fillId="11" borderId="4" xfId="1" applyFont="1" applyFill="1" applyBorder="1" applyAlignment="1">
      <alignment horizontal="center" vertical="center"/>
    </xf>
    <xf numFmtId="0" fontId="6" fillId="12" borderId="4" xfId="1" applyFont="1" applyFill="1" applyBorder="1" applyAlignment="1">
      <alignment horizontal="center" vertical="center"/>
    </xf>
    <xf numFmtId="0" fontId="0" fillId="7" borderId="66" xfId="0" applyFill="1" applyBorder="1" applyAlignment="1">
      <alignment horizontal="center"/>
    </xf>
    <xf numFmtId="0" fontId="1" fillId="7" borderId="69" xfId="1" applyFill="1" applyBorder="1" applyAlignment="1">
      <alignment horizontal="center" vertical="center"/>
    </xf>
    <xf numFmtId="164" fontId="1" fillId="7" borderId="69" xfId="1" applyNumberFormat="1" applyFill="1" applyBorder="1" applyAlignment="1">
      <alignment horizontal="center" vertical="center"/>
    </xf>
    <xf numFmtId="165" fontId="1" fillId="7" borderId="69" xfId="1" applyNumberFormat="1" applyFill="1" applyBorder="1" applyAlignment="1">
      <alignment horizontal="center" vertical="center"/>
    </xf>
    <xf numFmtId="4" fontId="1" fillId="7" borderId="72" xfId="1" applyNumberForma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/>
    </xf>
    <xf numFmtId="4" fontId="0" fillId="3" borderId="19" xfId="0" applyNumberFormat="1" applyFill="1" applyBorder="1" applyAlignment="1">
      <alignment horizontal="center"/>
    </xf>
    <xf numFmtId="0" fontId="6" fillId="13" borderId="23" xfId="1" applyFont="1" applyFill="1" applyBorder="1" applyAlignment="1">
      <alignment horizontal="left" vertical="center"/>
    </xf>
    <xf numFmtId="0" fontId="6" fillId="13" borderId="24" xfId="1" applyFont="1" applyFill="1" applyBorder="1" applyAlignment="1">
      <alignment horizontal="center" vertical="center"/>
    </xf>
    <xf numFmtId="0" fontId="6" fillId="13" borderId="25" xfId="1" applyFont="1" applyFill="1" applyBorder="1" applyAlignment="1">
      <alignment horizontal="center" vertical="center"/>
    </xf>
    <xf numFmtId="164" fontId="6" fillId="13" borderId="26" xfId="1" applyNumberFormat="1" applyFont="1" applyFill="1" applyBorder="1" applyAlignment="1">
      <alignment horizontal="center" vertical="center"/>
    </xf>
    <xf numFmtId="165" fontId="6" fillId="13" borderId="24" xfId="1" applyNumberFormat="1" applyFont="1" applyFill="1" applyBorder="1" applyAlignment="1">
      <alignment horizontal="center" vertical="center"/>
    </xf>
    <xf numFmtId="165" fontId="6" fillId="13" borderId="27" xfId="1" applyNumberFormat="1" applyFont="1" applyFill="1" applyBorder="1" applyAlignment="1">
      <alignment horizontal="center" vertical="center"/>
    </xf>
    <xf numFmtId="4" fontId="6" fillId="13" borderId="27" xfId="1" applyNumberFormat="1" applyFont="1" applyFill="1" applyBorder="1" applyAlignment="1">
      <alignment horizontal="center" vertical="center"/>
    </xf>
    <xf numFmtId="0" fontId="0" fillId="13" borderId="0" xfId="0" applyFill="1"/>
    <xf numFmtId="9" fontId="0" fillId="13" borderId="54" xfId="4" applyFont="1" applyFill="1" applyBorder="1" applyAlignment="1">
      <alignment horizontal="center"/>
    </xf>
    <xf numFmtId="4" fontId="6" fillId="13" borderId="28" xfId="1" applyNumberFormat="1" applyFont="1" applyFill="1" applyBorder="1" applyAlignment="1">
      <alignment horizontal="center" vertical="center"/>
    </xf>
    <xf numFmtId="0" fontId="6" fillId="13" borderId="37" xfId="1" applyFont="1" applyFill="1" applyBorder="1" applyAlignment="1">
      <alignment horizontal="left" vertical="center"/>
    </xf>
    <xf numFmtId="0" fontId="6" fillId="13" borderId="38" xfId="1" applyFont="1" applyFill="1" applyBorder="1" applyAlignment="1">
      <alignment horizontal="center" vertical="center"/>
    </xf>
    <xf numFmtId="0" fontId="6" fillId="13" borderId="39" xfId="1" applyFont="1" applyFill="1" applyBorder="1" applyAlignment="1">
      <alignment horizontal="center" vertical="center"/>
    </xf>
    <xf numFmtId="164" fontId="6" fillId="13" borderId="40" xfId="1" applyNumberFormat="1" applyFont="1" applyFill="1" applyBorder="1" applyAlignment="1">
      <alignment horizontal="center" vertical="center"/>
    </xf>
    <xf numFmtId="165" fontId="6" fillId="13" borderId="38" xfId="1" applyNumberFormat="1" applyFont="1" applyFill="1" applyBorder="1" applyAlignment="1">
      <alignment horizontal="center" vertical="center"/>
    </xf>
    <xf numFmtId="165" fontId="6" fillId="13" borderId="41" xfId="1" applyNumberFormat="1" applyFont="1" applyFill="1" applyBorder="1" applyAlignment="1">
      <alignment horizontal="center" vertical="center"/>
    </xf>
    <xf numFmtId="4" fontId="6" fillId="13" borderId="41" xfId="1" applyNumberFormat="1" applyFont="1" applyFill="1" applyBorder="1" applyAlignment="1">
      <alignment horizontal="center" vertical="center"/>
    </xf>
    <xf numFmtId="4" fontId="0" fillId="13" borderId="0" xfId="0" applyNumberFormat="1" applyFill="1" applyAlignment="1">
      <alignment horizontal="center"/>
    </xf>
    <xf numFmtId="4" fontId="6" fillId="13" borderId="42" xfId="1" applyNumberFormat="1" applyFont="1" applyFill="1" applyBorder="1" applyAlignment="1">
      <alignment horizontal="center" vertical="center"/>
    </xf>
    <xf numFmtId="14" fontId="13" fillId="0" borderId="0" xfId="0" applyNumberFormat="1" applyFont="1" applyAlignment="1">
      <alignment horizontal="center"/>
    </xf>
    <xf numFmtId="0" fontId="5" fillId="0" borderId="0" xfId="1" applyFont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165" fontId="7" fillId="4" borderId="0" xfId="1" applyNumberFormat="1" applyFont="1" applyFill="1" applyAlignment="1">
      <alignment horizontal="center" vertical="center"/>
    </xf>
    <xf numFmtId="4" fontId="6" fillId="0" borderId="69" xfId="1" applyNumberFormat="1" applyFont="1" applyBorder="1" applyAlignment="1">
      <alignment horizontal="center" vertical="center"/>
    </xf>
    <xf numFmtId="0" fontId="0" fillId="0" borderId="69" xfId="0" applyBorder="1" applyAlignment="1">
      <alignment horizontal="center"/>
    </xf>
    <xf numFmtId="4" fontId="6" fillId="0" borderId="72" xfId="1" applyNumberFormat="1" applyFont="1" applyBorder="1" applyAlignment="1">
      <alignment horizontal="center" vertical="center"/>
    </xf>
    <xf numFmtId="165" fontId="7" fillId="14" borderId="66" xfId="1" applyNumberFormat="1" applyFont="1" applyFill="1" applyBorder="1" applyAlignment="1">
      <alignment horizontal="center" vertical="center"/>
    </xf>
    <xf numFmtId="165" fontId="7" fillId="14" borderId="18" xfId="1" applyNumberFormat="1" applyFont="1" applyFill="1" applyBorder="1" applyAlignment="1">
      <alignment horizontal="center" vertical="center"/>
    </xf>
    <xf numFmtId="0" fontId="0" fillId="14" borderId="18" xfId="0" applyFill="1" applyBorder="1" applyAlignment="1">
      <alignment horizontal="center"/>
    </xf>
    <xf numFmtId="165" fontId="7" fillId="4" borderId="19" xfId="1" applyNumberFormat="1" applyFont="1" applyFill="1" applyBorder="1" applyAlignment="1">
      <alignment horizontal="center" vertical="center"/>
    </xf>
    <xf numFmtId="0" fontId="0" fillId="0" borderId="72" xfId="0" applyBorder="1" applyAlignment="1">
      <alignment horizontal="center"/>
    </xf>
    <xf numFmtId="4" fontId="0" fillId="0" borderId="72" xfId="0" applyNumberFormat="1" applyBorder="1" applyAlignment="1">
      <alignment horizontal="center"/>
    </xf>
    <xf numFmtId="0" fontId="5" fillId="8" borderId="0" xfId="1" applyFont="1" applyFill="1" applyAlignment="1">
      <alignment horizontal="center" vertical="center"/>
    </xf>
    <xf numFmtId="0" fontId="5" fillId="8" borderId="4" xfId="1" applyFont="1" applyFill="1" applyBorder="1" applyAlignment="1">
      <alignment horizontal="center" vertical="center"/>
    </xf>
    <xf numFmtId="0" fontId="5" fillId="8" borderId="69" xfId="1" applyFont="1" applyFill="1" applyBorder="1" applyAlignment="1">
      <alignment horizontal="center" vertical="center"/>
    </xf>
    <xf numFmtId="4" fontId="6" fillId="8" borderId="69" xfId="1" applyNumberFormat="1" applyFont="1" applyFill="1" applyBorder="1" applyAlignment="1">
      <alignment horizontal="center" vertical="center"/>
    </xf>
    <xf numFmtId="4" fontId="6" fillId="8" borderId="38" xfId="1" applyNumberFormat="1" applyFont="1" applyFill="1" applyBorder="1" applyAlignment="1">
      <alignment horizontal="center" vertical="center"/>
    </xf>
    <xf numFmtId="3" fontId="1" fillId="8" borderId="4" xfId="1" applyNumberFormat="1" applyFill="1" applyBorder="1" applyAlignment="1">
      <alignment horizontal="center" vertical="center"/>
    </xf>
    <xf numFmtId="3" fontId="1" fillId="0" borderId="4" xfId="1" applyNumberFormat="1" applyBorder="1" applyAlignment="1">
      <alignment horizontal="center" vertical="center"/>
    </xf>
    <xf numFmtId="3" fontId="1" fillId="8" borderId="69" xfId="1" applyNumberFormat="1" applyFill="1" applyBorder="1" applyAlignment="1">
      <alignment horizontal="center" vertical="center"/>
    </xf>
    <xf numFmtId="3" fontId="1" fillId="0" borderId="69" xfId="1" applyNumberFormat="1" applyBorder="1" applyAlignment="1">
      <alignment horizontal="center" vertical="center"/>
    </xf>
    <xf numFmtId="0" fontId="5" fillId="10" borderId="32" xfId="1" applyFont="1" applyFill="1" applyBorder="1" applyAlignment="1">
      <alignment vertical="center" wrapText="1"/>
    </xf>
    <xf numFmtId="0" fontId="0" fillId="15" borderId="29" xfId="0" applyFill="1" applyBorder="1"/>
    <xf numFmtId="0" fontId="0" fillId="15" borderId="30" xfId="0" applyFill="1" applyBorder="1"/>
    <xf numFmtId="0" fontId="0" fillId="15" borderId="32" xfId="0" applyFill="1" applyBorder="1"/>
    <xf numFmtId="4" fontId="6" fillId="13" borderId="73" xfId="1" applyNumberFormat="1" applyFont="1" applyFill="1" applyBorder="1" applyAlignment="1">
      <alignment horizontal="center" vertical="center"/>
    </xf>
    <xf numFmtId="0" fontId="13" fillId="0" borderId="0" xfId="0" applyFont="1"/>
    <xf numFmtId="0" fontId="13" fillId="16" borderId="0" xfId="0" applyFont="1" applyFill="1" applyAlignment="1">
      <alignment horizontal="center"/>
    </xf>
    <xf numFmtId="3" fontId="0" fillId="0" borderId="0" xfId="0" applyNumberFormat="1"/>
    <xf numFmtId="3" fontId="13" fillId="0" borderId="0" xfId="0" applyNumberFormat="1" applyFont="1"/>
    <xf numFmtId="0" fontId="0" fillId="17" borderId="0" xfId="0" applyFill="1"/>
    <xf numFmtId="0" fontId="0" fillId="0" borderId="69" xfId="0" applyBorder="1"/>
    <xf numFmtId="0" fontId="5" fillId="18" borderId="69" xfId="1" applyFont="1" applyFill="1" applyBorder="1" applyAlignment="1">
      <alignment horizontal="center" vertical="center" wrapText="1"/>
    </xf>
    <xf numFmtId="165" fontId="6" fillId="19" borderId="69" xfId="1" applyNumberFormat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left" vertical="center"/>
    </xf>
    <xf numFmtId="0" fontId="5" fillId="0" borderId="67" xfId="1" applyFont="1" applyBorder="1" applyAlignment="1">
      <alignment horizontal="center" vertical="center" wrapText="1"/>
    </xf>
    <xf numFmtId="4" fontId="10" fillId="0" borderId="49" xfId="1" applyNumberFormat="1" applyFont="1" applyBorder="1" applyAlignment="1">
      <alignment horizontal="centerContinuous" vertical="center"/>
    </xf>
    <xf numFmtId="165" fontId="0" fillId="0" borderId="69" xfId="0" applyNumberFormat="1" applyBorder="1" applyAlignment="1">
      <alignment horizontal="center"/>
    </xf>
    <xf numFmtId="165" fontId="0" fillId="20" borderId="69" xfId="0" applyNumberFormat="1" applyFill="1" applyBorder="1" applyAlignment="1">
      <alignment horizontal="center"/>
    </xf>
    <xf numFmtId="0" fontId="0" fillId="0" borderId="15" xfId="0" applyBorder="1" applyAlignment="1">
      <alignment horizontal="center"/>
    </xf>
    <xf numFmtId="165" fontId="6" fillId="20" borderId="35" xfId="1" applyNumberFormat="1" applyFont="1" applyFill="1" applyBorder="1" applyAlignment="1">
      <alignment horizontal="center" vertical="center"/>
    </xf>
    <xf numFmtId="165" fontId="0" fillId="0" borderId="35" xfId="0" applyNumberFormat="1" applyBorder="1" applyAlignment="1">
      <alignment horizontal="center"/>
    </xf>
    <xf numFmtId="165" fontId="0" fillId="20" borderId="11" xfId="0" applyNumberFormat="1" applyFill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21" borderId="74" xfId="0" applyNumberFormat="1" applyFill="1" applyBorder="1" applyAlignment="1">
      <alignment horizontal="center"/>
    </xf>
    <xf numFmtId="165" fontId="15" fillId="21" borderId="33" xfId="0" applyNumberFormat="1" applyFont="1" applyFill="1" applyBorder="1" applyAlignment="1">
      <alignment horizontal="center"/>
    </xf>
    <xf numFmtId="165" fontId="0" fillId="20" borderId="35" xfId="0" applyNumberFormat="1" applyFill="1" applyBorder="1" applyAlignment="1">
      <alignment horizontal="center"/>
    </xf>
    <xf numFmtId="4" fontId="6" fillId="0" borderId="76" xfId="1" applyNumberFormat="1" applyFont="1" applyBorder="1" applyAlignment="1">
      <alignment horizontal="center" vertical="center"/>
    </xf>
    <xf numFmtId="0" fontId="7" fillId="5" borderId="77" xfId="1" applyFont="1" applyFill="1" applyBorder="1" applyAlignment="1">
      <alignment vertical="center"/>
    </xf>
    <xf numFmtId="0" fontId="7" fillId="5" borderId="44" xfId="1" applyFont="1" applyFill="1" applyBorder="1" applyAlignment="1">
      <alignment vertical="center"/>
    </xf>
    <xf numFmtId="0" fontId="7" fillId="5" borderId="78" xfId="1" applyFont="1" applyFill="1" applyBorder="1" applyAlignment="1">
      <alignment vertical="center"/>
    </xf>
    <xf numFmtId="165" fontId="7" fillId="5" borderId="75" xfId="1" applyNumberFormat="1" applyFont="1" applyFill="1" applyBorder="1" applyAlignment="1">
      <alignment horizontal="center" vertical="center"/>
    </xf>
    <xf numFmtId="166" fontId="0" fillId="0" borderId="69" xfId="0" applyNumberFormat="1" applyBorder="1" applyAlignment="1">
      <alignment horizontal="center"/>
    </xf>
    <xf numFmtId="0" fontId="0" fillId="0" borderId="69" xfId="0" applyBorder="1" applyAlignment="1">
      <alignment horizontal="center"/>
    </xf>
    <xf numFmtId="0" fontId="5" fillId="3" borderId="4" xfId="1" applyFont="1" applyFill="1" applyBorder="1" applyAlignment="1">
      <alignment horizontal="center" vertical="center"/>
    </xf>
    <xf numFmtId="0" fontId="5" fillId="3" borderId="69" xfId="1" applyFont="1" applyFill="1" applyBorder="1" applyAlignment="1">
      <alignment horizontal="center" vertical="center"/>
    </xf>
    <xf numFmtId="0" fontId="5" fillId="3" borderId="72" xfId="1" applyFont="1" applyFill="1" applyBorder="1" applyAlignment="1">
      <alignment horizontal="center" vertical="center"/>
    </xf>
    <xf numFmtId="0" fontId="5" fillId="7" borderId="71" xfId="1" applyFont="1" applyFill="1" applyBorder="1" applyAlignment="1">
      <alignment horizontal="center" vertical="center" wrapText="1"/>
    </xf>
    <xf numFmtId="0" fontId="5" fillId="7" borderId="72" xfId="1" applyFont="1" applyFill="1" applyBorder="1" applyAlignment="1">
      <alignment horizontal="center" vertical="center" wrapText="1"/>
    </xf>
    <xf numFmtId="0" fontId="5" fillId="0" borderId="70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68" xfId="1" applyFont="1" applyBorder="1" applyAlignment="1">
      <alignment horizontal="center" vertical="center"/>
    </xf>
    <xf numFmtId="0" fontId="5" fillId="0" borderId="69" xfId="1" applyFont="1" applyBorder="1" applyAlignment="1">
      <alignment horizontal="center" vertical="center"/>
    </xf>
    <xf numFmtId="4" fontId="5" fillId="0" borderId="68" xfId="1" applyNumberFormat="1" applyFont="1" applyBorder="1" applyAlignment="1">
      <alignment horizontal="center" vertical="center" wrapText="1"/>
    </xf>
    <xf numFmtId="4" fontId="5" fillId="0" borderId="69" xfId="1" applyNumberFormat="1" applyFont="1" applyBorder="1" applyAlignment="1">
      <alignment horizontal="center" vertical="center" wrapText="1"/>
    </xf>
    <xf numFmtId="0" fontId="0" fillId="7" borderId="50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2" fillId="2" borderId="51" xfId="1" applyFont="1" applyFill="1" applyBorder="1" applyAlignment="1">
      <alignment horizontal="center" vertical="center" shrinkToFit="1"/>
    </xf>
    <xf numFmtId="0" fontId="2" fillId="2" borderId="52" xfId="1" applyFont="1" applyFill="1" applyBorder="1" applyAlignment="1">
      <alignment horizontal="center" vertical="center" shrinkToFit="1"/>
    </xf>
    <xf numFmtId="0" fontId="2" fillId="2" borderId="53" xfId="1" applyFont="1" applyFill="1" applyBorder="1" applyAlignment="1">
      <alignment horizontal="center" vertical="center" shrinkToFit="1"/>
    </xf>
    <xf numFmtId="0" fontId="5" fillId="3" borderId="29" xfId="1" applyFont="1" applyFill="1" applyBorder="1" applyAlignment="1">
      <alignment horizontal="center" vertical="center"/>
    </xf>
    <xf numFmtId="0" fontId="5" fillId="3" borderId="30" xfId="1" applyFont="1" applyFill="1" applyBorder="1" applyAlignment="1">
      <alignment horizontal="center" vertical="center"/>
    </xf>
    <xf numFmtId="0" fontId="5" fillId="3" borderId="32" xfId="1" applyFont="1" applyFill="1" applyBorder="1" applyAlignment="1">
      <alignment horizontal="center" vertical="center"/>
    </xf>
    <xf numFmtId="0" fontId="5" fillId="0" borderId="36" xfId="1" applyFont="1" applyBorder="1" applyAlignment="1">
      <alignment horizontal="center" vertical="center" wrapText="1"/>
    </xf>
    <xf numFmtId="0" fontId="5" fillId="0" borderId="64" xfId="1" applyFont="1" applyBorder="1" applyAlignment="1">
      <alignment horizontal="center" vertical="center" wrapText="1"/>
    </xf>
    <xf numFmtId="0" fontId="5" fillId="7" borderId="13" xfId="1" applyFont="1" applyFill="1" applyBorder="1" applyAlignment="1">
      <alignment horizontal="center" vertical="center" wrapText="1"/>
    </xf>
    <xf numFmtId="0" fontId="5" fillId="7" borderId="65" xfId="1" applyFont="1" applyFill="1" applyBorder="1" applyAlignment="1">
      <alignment horizontal="center" vertical="center" wrapText="1"/>
    </xf>
    <xf numFmtId="0" fontId="4" fillId="2" borderId="44" xfId="1" applyFont="1" applyFill="1" applyBorder="1" applyAlignment="1">
      <alignment horizontal="center" vertical="center"/>
    </xf>
    <xf numFmtId="0" fontId="4" fillId="2" borderId="45" xfId="1" applyFont="1" applyFill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4" fontId="5" fillId="0" borderId="11" xfId="1" applyNumberFormat="1" applyFont="1" applyBorder="1" applyAlignment="1">
      <alignment horizontal="center" vertical="center" wrapText="1"/>
    </xf>
    <xf numFmtId="4" fontId="5" fillId="0" borderId="35" xfId="1" applyNumberFormat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65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34" xfId="1" applyFont="1" applyBorder="1" applyAlignment="1">
      <alignment horizontal="center" vertical="center"/>
    </xf>
    <xf numFmtId="0" fontId="5" fillId="10" borderId="29" xfId="1" applyFont="1" applyFill="1" applyBorder="1" applyAlignment="1">
      <alignment horizontal="center" vertical="center" wrapText="1"/>
    </xf>
    <xf numFmtId="0" fontId="5" fillId="10" borderId="30" xfId="1" applyFont="1" applyFill="1" applyBorder="1" applyAlignment="1">
      <alignment horizontal="center" vertical="center" wrapText="1"/>
    </xf>
    <xf numFmtId="0" fontId="5" fillId="10" borderId="32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/>
    </xf>
    <xf numFmtId="0" fontId="5" fillId="7" borderId="6" xfId="1" applyFont="1" applyFill="1" applyBorder="1" applyAlignment="1">
      <alignment horizontal="center" vertical="center" wrapText="1"/>
    </xf>
    <xf numFmtId="0" fontId="5" fillId="7" borderId="7" xfId="1" applyFont="1" applyFill="1" applyBorder="1" applyAlignment="1">
      <alignment horizontal="center" vertical="center" wrapText="1"/>
    </xf>
    <xf numFmtId="0" fontId="5" fillId="3" borderId="50" xfId="1" applyFont="1" applyFill="1" applyBorder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4" fontId="5" fillId="0" borderId="18" xfId="1" applyNumberFormat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/>
    </xf>
    <xf numFmtId="0" fontId="5" fillId="10" borderId="1" xfId="1" applyFont="1" applyFill="1" applyBorder="1" applyAlignment="1">
      <alignment horizontal="center" vertical="center" wrapText="1"/>
    </xf>
    <xf numFmtId="0" fontId="5" fillId="10" borderId="2" xfId="1" applyFont="1" applyFill="1" applyBorder="1" applyAlignment="1">
      <alignment horizontal="center" vertical="center" wrapText="1"/>
    </xf>
    <xf numFmtId="0" fontId="5" fillId="10" borderId="3" xfId="1" applyFont="1" applyFill="1" applyBorder="1" applyAlignment="1">
      <alignment horizontal="center" vertical="center" wrapText="1"/>
    </xf>
    <xf numFmtId="0" fontId="5" fillId="3" borderId="43" xfId="1" applyFont="1" applyFill="1" applyBorder="1" applyAlignment="1">
      <alignment horizontal="center" vertical="center"/>
    </xf>
    <xf numFmtId="0" fontId="5" fillId="3" borderId="44" xfId="1" applyFont="1" applyFill="1" applyBorder="1" applyAlignment="1">
      <alignment horizontal="center" vertical="center"/>
    </xf>
    <xf numFmtId="0" fontId="5" fillId="3" borderId="45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center" vertical="center" shrinkToFit="1"/>
    </xf>
    <xf numFmtId="0" fontId="2" fillId="2" borderId="3" xfId="1" applyFont="1" applyFill="1" applyBorder="1" applyAlignment="1">
      <alignment horizontal="center" vertical="center" shrinkToFit="1"/>
    </xf>
    <xf numFmtId="0" fontId="4" fillId="2" borderId="5" xfId="1" applyFont="1" applyFill="1" applyBorder="1" applyAlignment="1">
      <alignment horizontal="left" vertical="center"/>
    </xf>
    <xf numFmtId="0" fontId="4" fillId="2" borderId="6" xfId="1" applyFont="1" applyFill="1" applyBorder="1" applyAlignment="1">
      <alignment horizontal="left" vertical="center"/>
    </xf>
    <xf numFmtId="0" fontId="4" fillId="2" borderId="7" xfId="1" applyFont="1" applyFill="1" applyBorder="1" applyAlignment="1">
      <alignment horizontal="left" vertical="center"/>
    </xf>
    <xf numFmtId="0" fontId="5" fillId="3" borderId="20" xfId="1" applyFont="1" applyFill="1" applyBorder="1" applyAlignment="1">
      <alignment horizontal="center" vertical="center"/>
    </xf>
    <xf numFmtId="0" fontId="5" fillId="3" borderId="21" xfId="1" applyFont="1" applyFill="1" applyBorder="1" applyAlignment="1">
      <alignment horizontal="center" vertical="center"/>
    </xf>
    <xf numFmtId="0" fontId="5" fillId="3" borderId="22" xfId="1" applyFont="1" applyFill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shrinkToFit="1"/>
    </xf>
    <xf numFmtId="0" fontId="2" fillId="0" borderId="2" xfId="1" applyFont="1" applyBorder="1" applyAlignment="1">
      <alignment horizontal="center" vertical="center" shrinkToFit="1"/>
    </xf>
    <xf numFmtId="0" fontId="2" fillId="0" borderId="3" xfId="1" applyFont="1" applyBorder="1" applyAlignment="1">
      <alignment horizontal="center" vertical="center" shrinkToFit="1"/>
    </xf>
    <xf numFmtId="0" fontId="4" fillId="0" borderId="5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</cellXfs>
  <cellStyles count="5">
    <cellStyle name="Normal" xfId="0" builtinId="0"/>
    <cellStyle name="Normal 2" xfId="1" xr:uid="{2B690463-1AB9-44B9-AE28-BF3FEF61E54D}"/>
    <cellStyle name="Normal 2 3" xfId="3" xr:uid="{333DE2CC-4211-48EF-9A04-22E3D162CF54}"/>
    <cellStyle name="Normal 3" xfId="2" xr:uid="{ACF3B7D7-34C2-44B9-B1D8-32FC271877B9}"/>
    <cellStyle name="Porcentagem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 de Aterro a Executar (Saldo) - m³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'RESUMO DE VOLUMES'!$L$25</c:f>
              <c:strCache>
                <c:ptCount val="1"/>
                <c:pt idx="0">
                  <c:v>Saldo Aterro (m³)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 VOLUMES'!$K$26:$K$31</c:f>
              <c:strCache>
                <c:ptCount val="6"/>
                <c:pt idx="0">
                  <c:v>Seg-01: 701+000 ao 713+500</c:v>
                </c:pt>
                <c:pt idx="1">
                  <c:v>Seg-02 Sul: 732+000 ao 736+380</c:v>
                </c:pt>
                <c:pt idx="2">
                  <c:v>Seg-02 Norte: 732+000 ao 734+220</c:v>
                </c:pt>
                <c:pt idx="3">
                  <c:v>Seg-03: 736+000 ao 745+500</c:v>
                </c:pt>
                <c:pt idx="4">
                  <c:v>INTERSEÇÃO - km 713+700 PRIMAVERA</c:v>
                </c:pt>
                <c:pt idx="5">
                  <c:v>INTERSEÇÃO - km 746+320 SORRISO</c:v>
                </c:pt>
              </c:strCache>
            </c:strRef>
          </c:cat>
          <c:val>
            <c:numRef>
              <c:f>'RESUMO DE VOLUMES'!$L$26:$L$31</c:f>
              <c:numCache>
                <c:formatCode>#,##0</c:formatCode>
                <c:ptCount val="6"/>
                <c:pt idx="0">
                  <c:v>28775.100000000002</c:v>
                </c:pt>
                <c:pt idx="1">
                  <c:v>10595.9</c:v>
                </c:pt>
                <c:pt idx="2">
                  <c:v>22824.9</c:v>
                </c:pt>
                <c:pt idx="3">
                  <c:v>55262</c:v>
                </c:pt>
                <c:pt idx="4">
                  <c:v>50845.109999999993</c:v>
                </c:pt>
                <c:pt idx="5">
                  <c:v>96981.551325000008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2-4F62-8560-1A0E58EE0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3739664"/>
        <c:axId val="743740624"/>
      </c:barChart>
      <c:catAx>
        <c:axId val="74373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3740624"/>
        <c:crosses val="autoZero"/>
        <c:auto val="1"/>
        <c:lblAlgn val="ctr"/>
        <c:lblOffset val="100"/>
        <c:noMultiLvlLbl val="0"/>
      </c:catAx>
      <c:valAx>
        <c:axId val="743740624"/>
        <c:scaling>
          <c:orientation val="minMax"/>
        </c:scaling>
        <c:delete val="1"/>
        <c:axPos val="b"/>
        <c:numFmt formatCode="#.##0" sourceLinked="0"/>
        <c:majorTickMark val="none"/>
        <c:minorTickMark val="none"/>
        <c:tickLblPos val="nextTo"/>
        <c:crossAx val="743739664"/>
        <c:crosses val="autoZero"/>
        <c:crossBetween val="between"/>
        <c:majorUnit val="25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17</xdr:row>
      <xdr:rowOff>139065</xdr:rowOff>
    </xdr:from>
    <xdr:to>
      <xdr:col>8</xdr:col>
      <xdr:colOff>895350</xdr:colOff>
      <xdr:row>37</xdr:row>
      <xdr:rowOff>148590</xdr:rowOff>
    </xdr:to>
    <xdr:graphicFrame macro="">
      <xdr:nvGraphicFramePr>
        <xdr:cNvPr id="2" name="SaldoAterro">
          <a:extLst>
            <a:ext uri="{FF2B5EF4-FFF2-40B4-BE49-F238E27FC236}">
              <a16:creationId xmlns:a16="http://schemas.microsoft.com/office/drawing/2014/main" id="{A40AF8BE-1FD7-AF0E-5094-C9689ADF3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C1FE9F-2527-47EF-BD3F-AE091DB0EF3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ef03119-e552-4c4d-8d32-f7ee8900327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D44D-674D-4240-B1DD-9ED6C38A2CB5}">
  <sheetPr>
    <tabColor rgb="FF00B050"/>
    <pageSetUpPr fitToPage="1"/>
  </sheetPr>
  <dimension ref="A1:V34"/>
  <sheetViews>
    <sheetView topLeftCell="D1" workbookViewId="0">
      <selection activeCell="U15" sqref="U15"/>
    </sheetView>
  </sheetViews>
  <sheetFormatPr defaultRowHeight="15" x14ac:dyDescent="0.25"/>
  <cols>
    <col min="1" max="1" width="40.28515625" bestFit="1" customWidth="1"/>
    <col min="2" max="2" width="11.28515625" bestFit="1" customWidth="1"/>
    <col min="3" max="3" width="1.7109375" bestFit="1" customWidth="1"/>
    <col min="4" max="4" width="6.5703125" bestFit="1" customWidth="1"/>
    <col min="5" max="5" width="3.42578125" bestFit="1" customWidth="1"/>
    <col min="6" max="6" width="1.7109375" bestFit="1" customWidth="1"/>
    <col min="7" max="7" width="6.5703125" bestFit="1" customWidth="1"/>
    <col min="8" max="8" width="10.28515625" bestFit="1" customWidth="1"/>
    <col min="9" max="9" width="9.28515625" bestFit="1" customWidth="1"/>
    <col min="10" max="10" width="12.140625" bestFit="1" customWidth="1"/>
    <col min="11" max="11" width="15.7109375" bestFit="1" customWidth="1"/>
    <col min="12" max="12" width="17" bestFit="1" customWidth="1"/>
    <col min="13" max="13" width="12.85546875" bestFit="1" customWidth="1"/>
    <col min="14" max="14" width="11.42578125" bestFit="1" customWidth="1"/>
    <col min="15" max="15" width="16.28515625" bestFit="1" customWidth="1"/>
    <col min="16" max="16" width="12" bestFit="1" customWidth="1"/>
    <col min="17" max="17" width="5.42578125" style="40" bestFit="1" customWidth="1"/>
    <col min="18" max="18" width="16.28515625" style="40" bestFit="1" customWidth="1"/>
    <col min="19" max="19" width="12" bestFit="1" customWidth="1"/>
    <col min="20" max="20" width="14.5703125" customWidth="1"/>
  </cols>
  <sheetData>
    <row r="1" spans="1:22" ht="16.5" x14ac:dyDescent="0.25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9"/>
    </row>
    <row r="2" spans="1:22" ht="15.75" thickBot="1" x14ac:dyDescent="0.3">
      <c r="A2" s="95" t="s">
        <v>1</v>
      </c>
      <c r="B2" s="96" t="s">
        <v>2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  <c r="N2" s="48"/>
      <c r="O2" s="227"/>
      <c r="P2" s="227"/>
      <c r="Q2" s="228"/>
      <c r="R2" s="102" t="s">
        <v>3</v>
      </c>
      <c r="S2" s="103">
        <v>46241</v>
      </c>
    </row>
    <row r="3" spans="1:22" x14ac:dyDescent="0.25">
      <c r="A3" s="229" t="s">
        <v>4</v>
      </c>
      <c r="B3" s="230" t="s">
        <v>5</v>
      </c>
      <c r="C3" s="231"/>
      <c r="D3" s="231"/>
      <c r="E3" s="231"/>
      <c r="F3" s="231"/>
      <c r="G3" s="232"/>
      <c r="H3" s="236" t="s">
        <v>6</v>
      </c>
      <c r="I3" s="238" t="s">
        <v>7</v>
      </c>
      <c r="J3" s="239"/>
      <c r="K3" s="239"/>
      <c r="L3" s="239"/>
      <c r="M3" s="240"/>
      <c r="N3" s="238" t="s">
        <v>7</v>
      </c>
      <c r="O3" s="239"/>
      <c r="P3" s="240"/>
      <c r="Q3" s="45"/>
      <c r="R3" s="225" t="s">
        <v>8</v>
      </c>
      <c r="S3" s="226"/>
    </row>
    <row r="4" spans="1:22" ht="15" customHeight="1" thickBot="1" x14ac:dyDescent="0.3">
      <c r="A4" s="229"/>
      <c r="B4" s="233"/>
      <c r="C4" s="234"/>
      <c r="D4" s="234"/>
      <c r="E4" s="234"/>
      <c r="F4" s="234"/>
      <c r="G4" s="235"/>
      <c r="H4" s="236"/>
      <c r="I4" s="241" t="s">
        <v>9</v>
      </c>
      <c r="J4" s="242"/>
      <c r="K4" s="241" t="s">
        <v>10</v>
      </c>
      <c r="L4" s="243"/>
      <c r="M4" s="244"/>
      <c r="N4" s="38" t="s">
        <v>9</v>
      </c>
      <c r="O4" s="2" t="s">
        <v>11</v>
      </c>
      <c r="P4" s="223" t="s">
        <v>12</v>
      </c>
      <c r="Q4" s="45"/>
      <c r="R4" s="2" t="s">
        <v>11</v>
      </c>
      <c r="S4" s="223" t="s">
        <v>12</v>
      </c>
    </row>
    <row r="5" spans="1:22" ht="57.75" thickBot="1" x14ac:dyDescent="0.3">
      <c r="A5" s="229"/>
      <c r="B5" s="245" t="s">
        <v>13</v>
      </c>
      <c r="C5" s="245"/>
      <c r="D5" s="245"/>
      <c r="E5" s="245" t="s">
        <v>14</v>
      </c>
      <c r="F5" s="245"/>
      <c r="G5" s="245"/>
      <c r="H5" s="237"/>
      <c r="I5" s="18" t="s">
        <v>15</v>
      </c>
      <c r="J5" s="18" t="s">
        <v>16</v>
      </c>
      <c r="K5" s="18" t="s">
        <v>17</v>
      </c>
      <c r="L5" s="18" t="s">
        <v>18</v>
      </c>
      <c r="M5" s="19" t="s">
        <v>19</v>
      </c>
      <c r="N5" s="18" t="s">
        <v>15</v>
      </c>
      <c r="O5" s="18" t="s">
        <v>20</v>
      </c>
      <c r="P5" s="224"/>
      <c r="Q5" s="46" t="s">
        <v>21</v>
      </c>
      <c r="R5" s="18" t="s">
        <v>20</v>
      </c>
      <c r="S5" s="224"/>
    </row>
    <row r="6" spans="1:22" ht="15.75" thickBot="1" x14ac:dyDescent="0.3">
      <c r="A6" s="220" t="s">
        <v>22</v>
      </c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2"/>
    </row>
    <row r="7" spans="1:22" x14ac:dyDescent="0.25">
      <c r="A7" s="20" t="s">
        <v>23</v>
      </c>
      <c r="B7" s="21">
        <v>701</v>
      </c>
      <c r="C7" s="22" t="s">
        <v>24</v>
      </c>
      <c r="D7" s="23">
        <v>0</v>
      </c>
      <c r="E7" s="21">
        <v>702</v>
      </c>
      <c r="F7" s="22" t="s">
        <v>24</v>
      </c>
      <c r="G7" s="23">
        <v>0</v>
      </c>
      <c r="H7" s="24">
        <f t="shared" ref="H7:H28" si="0">(E7*1000+G7)-(B7*1000+D7)</f>
        <v>1000</v>
      </c>
      <c r="I7" s="25"/>
      <c r="J7" s="25"/>
      <c r="K7" s="26">
        <v>4881.3999999999987</v>
      </c>
      <c r="L7" s="26">
        <v>8197.33</v>
      </c>
      <c r="M7" s="24">
        <v>13078.73</v>
      </c>
      <c r="N7" s="25"/>
      <c r="O7" s="25">
        <f>M7-P7</f>
        <v>0</v>
      </c>
      <c r="P7" s="26">
        <v>13078.73</v>
      </c>
      <c r="Q7" s="60">
        <f>(R7/M7)*1</f>
        <v>0</v>
      </c>
      <c r="R7" s="26"/>
      <c r="S7" s="27">
        <v>10775.1</v>
      </c>
      <c r="T7" s="215" t="s">
        <v>25</v>
      </c>
      <c r="U7" s="216"/>
      <c r="V7" s="216"/>
    </row>
    <row r="8" spans="1:22" x14ac:dyDescent="0.25">
      <c r="A8" s="67" t="s">
        <v>26</v>
      </c>
      <c r="B8" s="63">
        <v>701</v>
      </c>
      <c r="C8" s="64" t="s">
        <v>24</v>
      </c>
      <c r="D8" s="65">
        <v>867</v>
      </c>
      <c r="E8" s="63">
        <v>702</v>
      </c>
      <c r="F8" s="64" t="s">
        <v>24</v>
      </c>
      <c r="G8" s="65">
        <v>0</v>
      </c>
      <c r="H8" s="66">
        <f>(E8*1000+G8)-(B8*1000+D8)</f>
        <v>133</v>
      </c>
      <c r="I8" s="68"/>
      <c r="J8" s="68"/>
      <c r="K8" s="93">
        <v>1492.4</v>
      </c>
      <c r="L8" s="69"/>
      <c r="M8" s="71"/>
      <c r="N8" s="71">
        <f>N9-L8</f>
        <v>0</v>
      </c>
      <c r="O8" s="68"/>
      <c r="P8" s="69"/>
      <c r="Q8" s="70"/>
      <c r="R8" s="69"/>
      <c r="S8" s="69"/>
    </row>
    <row r="9" spans="1:22" x14ac:dyDescent="0.25">
      <c r="A9" s="4" t="s">
        <v>23</v>
      </c>
      <c r="B9" s="5">
        <v>702</v>
      </c>
      <c r="C9" s="6" t="s">
        <v>24</v>
      </c>
      <c r="D9" s="7">
        <v>0</v>
      </c>
      <c r="E9" s="5">
        <v>703</v>
      </c>
      <c r="F9" s="6" t="s">
        <v>24</v>
      </c>
      <c r="G9" s="7">
        <v>0</v>
      </c>
      <c r="H9" s="8">
        <f t="shared" si="0"/>
        <v>1000</v>
      </c>
      <c r="I9" s="9"/>
      <c r="J9" s="9"/>
      <c r="K9" s="16">
        <v>7646.2880000000005</v>
      </c>
      <c r="L9" s="16">
        <v>7651.8415999999997</v>
      </c>
      <c r="M9" s="8">
        <v>15298.1296</v>
      </c>
      <c r="N9" s="9"/>
      <c r="O9" s="9">
        <f>M9-P9</f>
        <v>0</v>
      </c>
      <c r="P9" s="16">
        <v>15298.1296</v>
      </c>
      <c r="Q9" s="61">
        <f>(O9/M9)*1</f>
        <v>0</v>
      </c>
      <c r="R9" s="16"/>
      <c r="S9" s="16">
        <v>9845.7999999999993</v>
      </c>
      <c r="T9" s="180" t="s">
        <v>27</v>
      </c>
      <c r="U9" s="16"/>
    </row>
    <row r="10" spans="1:22" x14ac:dyDescent="0.25">
      <c r="A10" s="67" t="s">
        <v>26</v>
      </c>
      <c r="B10" s="63">
        <v>702</v>
      </c>
      <c r="C10" s="64" t="s">
        <v>24</v>
      </c>
      <c r="D10" s="65">
        <v>0</v>
      </c>
      <c r="E10" s="63">
        <v>702</v>
      </c>
      <c r="F10" s="64" t="s">
        <v>24</v>
      </c>
      <c r="G10" s="65">
        <v>267</v>
      </c>
      <c r="H10" s="66">
        <f>(E10*1000+G10)-(B10*1000+D10)</f>
        <v>267</v>
      </c>
      <c r="I10" s="68"/>
      <c r="J10" s="68"/>
      <c r="K10" s="93">
        <v>5452.1</v>
      </c>
      <c r="L10" s="69"/>
      <c r="M10" s="71"/>
      <c r="N10" s="71">
        <f>N11-L10</f>
        <v>0</v>
      </c>
      <c r="O10" s="68"/>
      <c r="P10" s="69"/>
      <c r="Q10" s="70"/>
      <c r="R10" s="69"/>
      <c r="S10" s="69"/>
    </row>
    <row r="11" spans="1:22" x14ac:dyDescent="0.25">
      <c r="A11" s="4" t="s">
        <v>23</v>
      </c>
      <c r="B11" s="5">
        <v>703</v>
      </c>
      <c r="C11" s="6" t="s">
        <v>24</v>
      </c>
      <c r="D11" s="7">
        <v>0</v>
      </c>
      <c r="E11" s="5">
        <v>704</v>
      </c>
      <c r="F11" s="6" t="s">
        <v>24</v>
      </c>
      <c r="G11" s="7">
        <v>0</v>
      </c>
      <c r="H11" s="8">
        <f t="shared" si="0"/>
        <v>1000</v>
      </c>
      <c r="I11" s="9"/>
      <c r="J11" s="9"/>
      <c r="K11" s="16">
        <v>4235.1920000000009</v>
      </c>
      <c r="L11" s="16">
        <v>6996.5688000000009</v>
      </c>
      <c r="M11" s="8">
        <v>11231.760800000002</v>
      </c>
      <c r="N11" s="9"/>
      <c r="O11" s="9">
        <f>M11-P11</f>
        <v>0</v>
      </c>
      <c r="P11" s="16">
        <v>11231.760800000002</v>
      </c>
      <c r="Q11" s="60">
        <f>(R11/M11)*1</f>
        <v>0</v>
      </c>
      <c r="R11" s="16"/>
      <c r="S11" s="27">
        <v>0</v>
      </c>
    </row>
    <row r="12" spans="1:22" x14ac:dyDescent="0.25">
      <c r="A12" s="4" t="s">
        <v>23</v>
      </c>
      <c r="B12" s="5">
        <v>704</v>
      </c>
      <c r="C12" s="6" t="s">
        <v>24</v>
      </c>
      <c r="D12" s="7">
        <v>0</v>
      </c>
      <c r="E12" s="5">
        <v>705</v>
      </c>
      <c r="F12" s="6" t="s">
        <v>24</v>
      </c>
      <c r="G12" s="7">
        <v>0</v>
      </c>
      <c r="H12" s="8">
        <f t="shared" si="0"/>
        <v>1000</v>
      </c>
      <c r="I12" s="9"/>
      <c r="J12" s="9"/>
      <c r="K12" s="16">
        <v>12299.975999999999</v>
      </c>
      <c r="L12" s="16">
        <v>4674.7069077884025</v>
      </c>
      <c r="M12" s="8">
        <v>16974.682907788403</v>
      </c>
      <c r="N12" s="9"/>
      <c r="O12" s="9">
        <f>M12-P12</f>
        <v>0</v>
      </c>
      <c r="P12" s="16">
        <v>16974.682907788403</v>
      </c>
      <c r="Q12" s="60">
        <f>(R12/M12)*1</f>
        <v>0</v>
      </c>
      <c r="R12" s="16"/>
      <c r="S12" s="16">
        <v>8154.2</v>
      </c>
      <c r="T12" s="180" t="s">
        <v>27</v>
      </c>
    </row>
    <row r="13" spans="1:22" ht="13.9" customHeight="1" x14ac:dyDescent="0.25">
      <c r="A13" s="67" t="s">
        <v>28</v>
      </c>
      <c r="B13" s="63">
        <v>704</v>
      </c>
      <c r="C13" s="64" t="s">
        <v>24</v>
      </c>
      <c r="D13" s="65">
        <v>435</v>
      </c>
      <c r="E13" s="63">
        <v>704</v>
      </c>
      <c r="F13" s="64" t="s">
        <v>24</v>
      </c>
      <c r="G13" s="65">
        <v>835</v>
      </c>
      <c r="H13" s="66">
        <f t="shared" si="0"/>
        <v>400</v>
      </c>
      <c r="I13" s="68"/>
      <c r="J13" s="68"/>
      <c r="K13" s="93">
        <v>9180.4</v>
      </c>
      <c r="L13" s="69"/>
      <c r="M13" s="71"/>
      <c r="N13" s="68"/>
      <c r="O13" s="68"/>
      <c r="P13" s="69"/>
      <c r="Q13" s="70"/>
      <c r="R13" s="69"/>
      <c r="S13" s="69"/>
    </row>
    <row r="14" spans="1:22" x14ac:dyDescent="0.25">
      <c r="A14" s="4" t="s">
        <v>23</v>
      </c>
      <c r="B14" s="5">
        <v>705</v>
      </c>
      <c r="C14" s="6" t="s">
        <v>24</v>
      </c>
      <c r="D14" s="7">
        <v>0</v>
      </c>
      <c r="E14" s="5">
        <v>706</v>
      </c>
      <c r="F14" s="6" t="s">
        <v>24</v>
      </c>
      <c r="G14" s="7">
        <v>0</v>
      </c>
      <c r="H14" s="8">
        <f t="shared" si="0"/>
        <v>1000</v>
      </c>
      <c r="I14" s="9"/>
      <c r="J14" s="9"/>
      <c r="K14" s="16">
        <v>4061.1</v>
      </c>
      <c r="L14" s="16">
        <v>6384</v>
      </c>
      <c r="M14" s="8">
        <v>10445.1</v>
      </c>
      <c r="N14" s="9"/>
      <c r="O14" s="9">
        <f>M14-P14</f>
        <v>0</v>
      </c>
      <c r="P14" s="16">
        <v>10445.1</v>
      </c>
      <c r="Q14" s="61">
        <f>(O14/M14)*1</f>
        <v>0</v>
      </c>
      <c r="R14" s="16">
        <f>P14-S14</f>
        <v>10445.1</v>
      </c>
      <c r="S14" s="27">
        <v>0</v>
      </c>
    </row>
    <row r="15" spans="1:22" x14ac:dyDescent="0.25">
      <c r="A15" s="4" t="s">
        <v>23</v>
      </c>
      <c r="B15" s="5">
        <v>706</v>
      </c>
      <c r="C15" s="6" t="s">
        <v>24</v>
      </c>
      <c r="D15" s="7">
        <v>0</v>
      </c>
      <c r="E15" s="5">
        <v>707</v>
      </c>
      <c r="F15" s="6" t="s">
        <v>24</v>
      </c>
      <c r="G15" s="7">
        <v>0</v>
      </c>
      <c r="H15" s="8">
        <f t="shared" si="0"/>
        <v>1000</v>
      </c>
      <c r="I15" s="9"/>
      <c r="J15" s="9"/>
      <c r="K15" s="16">
        <v>9060.7000000000007</v>
      </c>
      <c r="L15" s="16">
        <v>4674.7069077884025</v>
      </c>
      <c r="M15" s="8">
        <v>13735.406907788403</v>
      </c>
      <c r="N15" s="9"/>
      <c r="O15" s="9">
        <f>M15-P15</f>
        <v>0</v>
      </c>
      <c r="P15" s="16">
        <v>13735.406907788403</v>
      </c>
      <c r="Q15" s="61">
        <f>(O15/M15)*1</f>
        <v>0</v>
      </c>
      <c r="R15" s="16"/>
      <c r="S15" s="27">
        <v>0</v>
      </c>
    </row>
    <row r="16" spans="1:22" x14ac:dyDescent="0.25">
      <c r="A16" s="67" t="s">
        <v>29</v>
      </c>
      <c r="B16" s="63">
        <v>706</v>
      </c>
      <c r="C16" s="64" t="s">
        <v>24</v>
      </c>
      <c r="D16" s="65">
        <v>400</v>
      </c>
      <c r="E16" s="63">
        <v>707</v>
      </c>
      <c r="F16" s="64" t="s">
        <v>24</v>
      </c>
      <c r="G16" s="65">
        <v>0</v>
      </c>
      <c r="H16" s="66">
        <f t="shared" si="0"/>
        <v>600</v>
      </c>
      <c r="I16" s="68"/>
      <c r="J16" s="68"/>
      <c r="K16" s="73">
        <v>5804.3</v>
      </c>
      <c r="L16" s="69"/>
      <c r="M16" s="66"/>
      <c r="N16" s="68"/>
      <c r="O16" s="68"/>
      <c r="P16" s="69"/>
      <c r="Q16" s="70"/>
      <c r="R16" s="69"/>
      <c r="S16" s="69"/>
    </row>
    <row r="17" spans="1:19" x14ac:dyDescent="0.25">
      <c r="A17" s="4" t="s">
        <v>23</v>
      </c>
      <c r="B17" s="5">
        <v>707</v>
      </c>
      <c r="C17" s="6" t="s">
        <v>24</v>
      </c>
      <c r="D17" s="7">
        <v>0</v>
      </c>
      <c r="E17" s="5">
        <v>708</v>
      </c>
      <c r="F17" s="6" t="s">
        <v>24</v>
      </c>
      <c r="G17" s="7">
        <v>0</v>
      </c>
      <c r="H17" s="8">
        <f t="shared" si="0"/>
        <v>1000</v>
      </c>
      <c r="I17" s="9"/>
      <c r="J17" s="9"/>
      <c r="K17" s="16">
        <v>9622.2999999999993</v>
      </c>
      <c r="L17" s="9">
        <v>0</v>
      </c>
      <c r="M17" s="8">
        <v>483.6</v>
      </c>
      <c r="N17" s="9"/>
      <c r="O17" s="9">
        <f>(M17-P17)+R17</f>
        <v>0</v>
      </c>
      <c r="P17" s="16">
        <v>483.6</v>
      </c>
      <c r="Q17" s="61">
        <f>(O17/M17)*1</f>
        <v>0</v>
      </c>
      <c r="R17" s="16"/>
      <c r="S17" s="16">
        <v>0</v>
      </c>
    </row>
    <row r="18" spans="1:19" x14ac:dyDescent="0.25">
      <c r="A18" s="4" t="s">
        <v>23</v>
      </c>
      <c r="B18" s="5">
        <v>708</v>
      </c>
      <c r="C18" s="6" t="s">
        <v>24</v>
      </c>
      <c r="D18" s="7">
        <v>0</v>
      </c>
      <c r="E18" s="5">
        <v>709</v>
      </c>
      <c r="F18" s="6" t="s">
        <v>24</v>
      </c>
      <c r="G18" s="7">
        <v>0</v>
      </c>
      <c r="H18" s="8">
        <f t="shared" si="0"/>
        <v>1000</v>
      </c>
      <c r="I18" s="9"/>
      <c r="J18" s="9"/>
      <c r="K18" s="16">
        <v>13702.4</v>
      </c>
      <c r="L18" s="9">
        <v>0</v>
      </c>
      <c r="M18" s="8">
        <v>3182.4</v>
      </c>
      <c r="N18" s="9"/>
      <c r="O18" s="9">
        <f>M18-P18</f>
        <v>0</v>
      </c>
      <c r="P18" s="16">
        <v>3182.4</v>
      </c>
      <c r="Q18" s="61">
        <f>(O18/M18)*1</f>
        <v>0</v>
      </c>
      <c r="R18" s="16"/>
      <c r="S18" s="16">
        <v>0</v>
      </c>
    </row>
    <row r="19" spans="1:19" x14ac:dyDescent="0.25">
      <c r="A19" s="4" t="s">
        <v>23</v>
      </c>
      <c r="B19" s="5">
        <v>709</v>
      </c>
      <c r="C19" s="6" t="s">
        <v>24</v>
      </c>
      <c r="D19" s="7">
        <v>0</v>
      </c>
      <c r="E19" s="5">
        <v>710</v>
      </c>
      <c r="F19" s="6" t="s">
        <v>24</v>
      </c>
      <c r="G19" s="7">
        <v>0</v>
      </c>
      <c r="H19" s="8">
        <f t="shared" si="0"/>
        <v>1000</v>
      </c>
      <c r="I19" s="9"/>
      <c r="J19" s="9"/>
      <c r="K19" s="16">
        <v>14950.3</v>
      </c>
      <c r="L19" s="9">
        <v>0</v>
      </c>
      <c r="M19" s="8">
        <v>7668.8</v>
      </c>
      <c r="N19" s="9"/>
      <c r="O19" s="9">
        <f>M19-P19</f>
        <v>0</v>
      </c>
      <c r="P19" s="16">
        <v>7668.8</v>
      </c>
      <c r="Q19" s="61">
        <f>(O19/M19)*1</f>
        <v>0</v>
      </c>
      <c r="R19" s="16">
        <f>P19-S19</f>
        <v>7668.8</v>
      </c>
      <c r="S19" s="10">
        <v>0</v>
      </c>
    </row>
    <row r="20" spans="1:19" x14ac:dyDescent="0.25">
      <c r="A20" s="4" t="s">
        <v>23</v>
      </c>
      <c r="B20" s="5">
        <v>710</v>
      </c>
      <c r="C20" s="6" t="s">
        <v>24</v>
      </c>
      <c r="D20" s="7">
        <v>0</v>
      </c>
      <c r="E20" s="5">
        <v>711</v>
      </c>
      <c r="F20" s="6" t="s">
        <v>24</v>
      </c>
      <c r="G20" s="7">
        <v>0</v>
      </c>
      <c r="H20" s="8">
        <f t="shared" si="0"/>
        <v>1000</v>
      </c>
      <c r="I20" s="9"/>
      <c r="J20" s="9"/>
      <c r="K20" s="16">
        <v>14767.3</v>
      </c>
      <c r="L20" s="9">
        <v>1623.6</v>
      </c>
      <c r="M20" s="8">
        <v>8254.7000000000007</v>
      </c>
      <c r="N20" s="9"/>
      <c r="O20" s="9">
        <f>M20-P20</f>
        <v>0</v>
      </c>
      <c r="P20" s="16">
        <v>8254.7000000000007</v>
      </c>
      <c r="Q20" s="60">
        <f>(O20/M20)*1</f>
        <v>0</v>
      </c>
      <c r="R20" s="16"/>
      <c r="S20" s="10">
        <v>0</v>
      </c>
    </row>
    <row r="21" spans="1:19" x14ac:dyDescent="0.25">
      <c r="A21" s="67" t="s">
        <v>29</v>
      </c>
      <c r="B21" s="63">
        <v>710</v>
      </c>
      <c r="C21" s="6" t="s">
        <v>24</v>
      </c>
      <c r="D21" s="65">
        <v>600</v>
      </c>
      <c r="E21" s="63">
        <v>711</v>
      </c>
      <c r="F21" s="6" t="s">
        <v>24</v>
      </c>
      <c r="G21" s="65">
        <v>0</v>
      </c>
      <c r="H21" s="66">
        <f t="shared" si="0"/>
        <v>400</v>
      </c>
      <c r="I21" s="68"/>
      <c r="J21" s="68"/>
      <c r="K21" s="73">
        <v>3739</v>
      </c>
      <c r="L21" s="69"/>
      <c r="M21" s="71"/>
      <c r="N21" s="68"/>
      <c r="O21" s="68"/>
      <c r="P21" s="69"/>
      <c r="Q21" s="70"/>
      <c r="R21" s="69"/>
      <c r="S21" s="69"/>
    </row>
    <row r="22" spans="1:19" x14ac:dyDescent="0.25">
      <c r="A22" s="4" t="s">
        <v>23</v>
      </c>
      <c r="B22" s="5">
        <v>711</v>
      </c>
      <c r="C22" s="6" t="s">
        <v>24</v>
      </c>
      <c r="D22" s="7">
        <v>0</v>
      </c>
      <c r="E22" s="5">
        <v>712</v>
      </c>
      <c r="F22" s="6" t="s">
        <v>24</v>
      </c>
      <c r="G22" s="7">
        <v>0</v>
      </c>
      <c r="H22" s="8">
        <f t="shared" si="0"/>
        <v>1000</v>
      </c>
      <c r="I22" s="9"/>
      <c r="J22" s="9"/>
      <c r="K22" s="16">
        <v>2757.6</v>
      </c>
      <c r="L22" s="9">
        <v>5903.9</v>
      </c>
      <c r="M22" s="8">
        <v>2867.8</v>
      </c>
      <c r="N22" s="9"/>
      <c r="O22" s="9">
        <f>(M22-P22)+R22</f>
        <v>0</v>
      </c>
      <c r="P22" s="16">
        <v>2867.8</v>
      </c>
      <c r="Q22" s="60">
        <f>(O22/M22)*1</f>
        <v>0</v>
      </c>
      <c r="R22" s="16"/>
      <c r="S22" s="10">
        <v>0</v>
      </c>
    </row>
    <row r="23" spans="1:19" x14ac:dyDescent="0.25">
      <c r="A23" s="67" t="s">
        <v>29</v>
      </c>
      <c r="B23" s="63">
        <v>711</v>
      </c>
      <c r="C23" s="6"/>
      <c r="D23" s="65">
        <v>0</v>
      </c>
      <c r="E23" s="63">
        <v>711</v>
      </c>
      <c r="F23" s="6" t="s">
        <v>24</v>
      </c>
      <c r="G23" s="65">
        <v>540</v>
      </c>
      <c r="H23" s="66">
        <f t="shared" si="0"/>
        <v>540</v>
      </c>
      <c r="I23" s="68"/>
      <c r="J23" s="68"/>
      <c r="K23" s="73">
        <v>1785.4</v>
      </c>
      <c r="L23" s="69"/>
      <c r="M23" s="71"/>
      <c r="N23" s="68"/>
      <c r="O23" s="68"/>
      <c r="P23" s="69"/>
      <c r="Q23" s="70"/>
      <c r="R23" s="69"/>
      <c r="S23" s="69"/>
    </row>
    <row r="24" spans="1:19" x14ac:dyDescent="0.25">
      <c r="A24" s="4" t="s">
        <v>23</v>
      </c>
      <c r="B24" s="5">
        <v>712</v>
      </c>
      <c r="C24" s="6" t="s">
        <v>24</v>
      </c>
      <c r="D24" s="7">
        <v>0</v>
      </c>
      <c r="E24" s="5">
        <v>713</v>
      </c>
      <c r="F24" s="6" t="s">
        <v>24</v>
      </c>
      <c r="G24" s="7">
        <v>0</v>
      </c>
      <c r="H24" s="8">
        <f t="shared" si="0"/>
        <v>1000</v>
      </c>
      <c r="I24" s="9"/>
      <c r="J24" s="9"/>
      <c r="K24" s="16">
        <v>373.1</v>
      </c>
      <c r="L24" s="9">
        <v>7380</v>
      </c>
      <c r="M24" s="8">
        <v>2058.9</v>
      </c>
      <c r="N24" s="9"/>
      <c r="O24" s="9">
        <f>M24-P24</f>
        <v>0</v>
      </c>
      <c r="P24" s="16">
        <v>2058.9</v>
      </c>
      <c r="Q24" s="60">
        <f>(O24/M24)*1</f>
        <v>0</v>
      </c>
      <c r="R24" s="16">
        <f>P24-S24</f>
        <v>2058.9</v>
      </c>
      <c r="S24" s="10">
        <v>0</v>
      </c>
    </row>
    <row r="25" spans="1:19" ht="15.75" thickBot="1" x14ac:dyDescent="0.3">
      <c r="A25" s="52" t="s">
        <v>23</v>
      </c>
      <c r="B25" s="53">
        <v>713</v>
      </c>
      <c r="C25" s="54" t="s">
        <v>24</v>
      </c>
      <c r="D25" s="55">
        <v>0</v>
      </c>
      <c r="E25" s="53">
        <v>714</v>
      </c>
      <c r="F25" s="54" t="s">
        <v>24</v>
      </c>
      <c r="G25" s="55">
        <v>0</v>
      </c>
      <c r="H25" s="56">
        <f t="shared" si="0"/>
        <v>1000</v>
      </c>
      <c r="I25" s="57"/>
      <c r="J25" s="57"/>
      <c r="K25" s="58">
        <v>6579.9</v>
      </c>
      <c r="L25" s="57">
        <v>7156.8</v>
      </c>
      <c r="M25" s="56">
        <v>8854.7999999999993</v>
      </c>
      <c r="N25" s="57"/>
      <c r="O25" s="57">
        <f>(M25-P25)+R25</f>
        <v>8854.7999999999993</v>
      </c>
      <c r="P25" s="58">
        <v>8854.7999999999993</v>
      </c>
      <c r="Q25" s="62">
        <f>(O25/M25)*1</f>
        <v>1</v>
      </c>
      <c r="R25" s="58">
        <v>8854.7999999999993</v>
      </c>
      <c r="S25" s="59">
        <v>0</v>
      </c>
    </row>
    <row r="26" spans="1:19" x14ac:dyDescent="0.25">
      <c r="A26" s="74" t="s">
        <v>23</v>
      </c>
      <c r="B26" s="75">
        <v>714</v>
      </c>
      <c r="C26" s="76" t="s">
        <v>24</v>
      </c>
      <c r="D26" s="77">
        <v>0</v>
      </c>
      <c r="E26" s="75">
        <v>715</v>
      </c>
      <c r="F26" s="76" t="s">
        <v>24</v>
      </c>
      <c r="G26" s="77">
        <v>0</v>
      </c>
      <c r="H26" s="78">
        <f t="shared" si="0"/>
        <v>1000</v>
      </c>
      <c r="I26" s="79"/>
      <c r="J26" s="79"/>
      <c r="K26" s="80">
        <v>3271.5</v>
      </c>
      <c r="L26" s="80">
        <v>6384.4</v>
      </c>
      <c r="M26" s="81">
        <v>2573.1999999999998</v>
      </c>
      <c r="N26" s="82"/>
      <c r="O26" s="81">
        <f>(M26-P26)+R26</f>
        <v>2573.1999999999998</v>
      </c>
      <c r="P26" s="80">
        <v>2573.1999999999998</v>
      </c>
      <c r="Q26" s="83">
        <f t="shared" ref="Q26:Q28" si="1">(O26/M26)*1</f>
        <v>1</v>
      </c>
      <c r="R26" s="17">
        <f>P26</f>
        <v>2573.1999999999998</v>
      </c>
      <c r="S26" s="16">
        <v>0</v>
      </c>
    </row>
    <row r="27" spans="1:19" x14ac:dyDescent="0.25">
      <c r="A27" s="74" t="s">
        <v>23</v>
      </c>
      <c r="B27" s="75">
        <v>715</v>
      </c>
      <c r="C27" s="76" t="s">
        <v>24</v>
      </c>
      <c r="D27" s="77">
        <v>0</v>
      </c>
      <c r="E27" s="75">
        <v>716</v>
      </c>
      <c r="F27" s="76" t="s">
        <v>24</v>
      </c>
      <c r="G27" s="77">
        <v>0</v>
      </c>
      <c r="H27" s="78">
        <f t="shared" si="0"/>
        <v>1000</v>
      </c>
      <c r="I27" s="79"/>
      <c r="J27" s="79"/>
      <c r="K27" s="80">
        <v>19504.2</v>
      </c>
      <c r="L27" s="80">
        <v>0</v>
      </c>
      <c r="M27" s="81">
        <v>2340.6999999999998</v>
      </c>
      <c r="N27" s="82"/>
      <c r="O27" s="81">
        <f>(M27-P27)+R27</f>
        <v>2340.6999999999998</v>
      </c>
      <c r="P27" s="80">
        <v>2340.6999999999998</v>
      </c>
      <c r="Q27" s="83">
        <f t="shared" si="1"/>
        <v>1</v>
      </c>
      <c r="R27" s="17">
        <f t="shared" ref="R27:R28" si="2">P27</f>
        <v>2340.6999999999998</v>
      </c>
      <c r="S27" s="16">
        <v>0</v>
      </c>
    </row>
    <row r="28" spans="1:19" x14ac:dyDescent="0.25">
      <c r="A28" s="74" t="s">
        <v>23</v>
      </c>
      <c r="B28" s="75">
        <v>716</v>
      </c>
      <c r="C28" s="76" t="s">
        <v>24</v>
      </c>
      <c r="D28" s="77">
        <v>0</v>
      </c>
      <c r="E28" s="75">
        <v>717</v>
      </c>
      <c r="F28" s="76" t="s">
        <v>24</v>
      </c>
      <c r="G28" s="77">
        <v>0</v>
      </c>
      <c r="H28" s="78">
        <f t="shared" si="0"/>
        <v>1000</v>
      </c>
      <c r="I28" s="79"/>
      <c r="J28" s="79"/>
      <c r="K28" s="80">
        <v>22751.3</v>
      </c>
      <c r="L28" s="80">
        <v>0</v>
      </c>
      <c r="M28" s="80">
        <v>1523</v>
      </c>
      <c r="N28" s="82"/>
      <c r="O28" s="81">
        <f>(M28-P28)+R28</f>
        <v>1523</v>
      </c>
      <c r="P28" s="80">
        <v>1523</v>
      </c>
      <c r="Q28" s="83">
        <f t="shared" si="1"/>
        <v>1</v>
      </c>
      <c r="R28" s="17">
        <f t="shared" si="2"/>
        <v>1523</v>
      </c>
      <c r="S28" s="16">
        <v>0</v>
      </c>
    </row>
    <row r="29" spans="1:19" ht="15.75" thickBot="1" x14ac:dyDescent="0.3">
      <c r="A29" s="49" t="str">
        <f>"TOTAL - "&amp;A6</f>
        <v>TOTAL - RODOVIA</v>
      </c>
      <c r="B29" s="50"/>
      <c r="C29" s="50"/>
      <c r="D29" s="50"/>
      <c r="E29" s="50"/>
      <c r="F29" s="50"/>
      <c r="G29" s="50"/>
      <c r="H29" s="50"/>
      <c r="I29" s="51">
        <f>SUM(I7:I25)</f>
        <v>0</v>
      </c>
      <c r="J29" s="51">
        <f>SUM(J7:J25)</f>
        <v>0</v>
      </c>
      <c r="K29" s="51">
        <f>SUM(K7:K25)</f>
        <v>132391.15600000002</v>
      </c>
      <c r="L29" s="51">
        <f>SUM(L7:L25)</f>
        <v>60643.454215576807</v>
      </c>
      <c r="M29" s="51">
        <f>SUM(M7:M25)</f>
        <v>114134.81021557681</v>
      </c>
      <c r="N29" s="48"/>
      <c r="O29" s="51">
        <f>SUM(O7:O25)</f>
        <v>8854.7999999999993</v>
      </c>
      <c r="P29" s="51">
        <f>SUM(P7:P25)</f>
        <v>114134.81021557681</v>
      </c>
      <c r="Q29" s="51"/>
      <c r="R29" s="51"/>
      <c r="S29" s="51">
        <f>SUM(S7:S28)</f>
        <v>28775.100000000002</v>
      </c>
    </row>
    <row r="30" spans="1:19" x14ac:dyDescent="0.25">
      <c r="S30" s="39"/>
    </row>
    <row r="32" spans="1:19" x14ac:dyDescent="0.25">
      <c r="R32"/>
    </row>
    <row r="33" spans="10:18" x14ac:dyDescent="0.25">
      <c r="J33" s="39"/>
      <c r="K33" s="39"/>
      <c r="O33" s="39"/>
    </row>
    <row r="34" spans="10:18" x14ac:dyDescent="0.25">
      <c r="K34" s="39"/>
      <c r="L34" s="39"/>
      <c r="M34" s="39"/>
      <c r="O34" s="16"/>
      <c r="P34" s="94"/>
      <c r="R34" s="99"/>
    </row>
  </sheetData>
  <mergeCells count="16">
    <mergeCell ref="T7:V7"/>
    <mergeCell ref="A1:S1"/>
    <mergeCell ref="A6:S6"/>
    <mergeCell ref="S4:S5"/>
    <mergeCell ref="P4:P5"/>
    <mergeCell ref="R3:S3"/>
    <mergeCell ref="O2:Q2"/>
    <mergeCell ref="A3:A5"/>
    <mergeCell ref="B3:G4"/>
    <mergeCell ref="H3:H5"/>
    <mergeCell ref="I3:M3"/>
    <mergeCell ref="I4:J4"/>
    <mergeCell ref="K4:M4"/>
    <mergeCell ref="B5:D5"/>
    <mergeCell ref="E5:G5"/>
    <mergeCell ref="N3:P3"/>
  </mergeCells>
  <pageMargins left="0.511811024" right="0.511811024" top="0.78740157499999996" bottom="0.78740157499999996" header="0.31496062000000002" footer="0.31496062000000002"/>
  <pageSetup paperSize="8" scale="74" orientation="landscape" r:id="rId1"/>
  <ignoredErrors>
    <ignoredError sqref="O24 O17 O2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6418-3C64-457B-BE7B-24EDAD902C94}">
  <dimension ref="A1:AA20"/>
  <sheetViews>
    <sheetView topLeftCell="D1" workbookViewId="0">
      <selection activeCell="A10" sqref="A10:XFD10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1406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0" width="17.7109375" hidden="1" customWidth="1"/>
    <col min="11" max="12" width="17.7109375" customWidth="1"/>
    <col min="13" max="13" width="18.7109375" bestFit="1" customWidth="1"/>
    <col min="14" max="14" width="17.7109375" hidden="1" customWidth="1"/>
    <col min="15" max="15" width="14.85546875" customWidth="1"/>
    <col min="16" max="16" width="15.28515625" customWidth="1"/>
    <col min="17" max="17" width="11.140625" bestFit="1" customWidth="1"/>
    <col min="18" max="18" width="14.5703125" customWidth="1"/>
    <col min="19" max="19" width="15.7109375" customWidth="1"/>
    <col min="20" max="20" width="17.7109375" customWidth="1"/>
    <col min="22" max="22" width="3.140625" customWidth="1"/>
    <col min="25" max="25" width="2.7109375" customWidth="1"/>
    <col min="27" max="27" width="13.7109375" customWidth="1"/>
  </cols>
  <sheetData>
    <row r="1" spans="1:27" ht="16.5" x14ac:dyDescent="0.25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9"/>
    </row>
    <row r="2" spans="1:27" x14ac:dyDescent="0.25">
      <c r="A2" s="1" t="s">
        <v>30</v>
      </c>
      <c r="B2" s="42" t="s">
        <v>2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O2" s="249"/>
      <c r="P2" s="249"/>
      <c r="Q2" s="249"/>
      <c r="R2" s="102" t="s">
        <v>3</v>
      </c>
      <c r="S2" s="103">
        <f>'SEGMENTO-01'!S2</f>
        <v>46241</v>
      </c>
    </row>
    <row r="3" spans="1:27" x14ac:dyDescent="0.25">
      <c r="A3" s="229" t="s">
        <v>4</v>
      </c>
      <c r="B3" s="230" t="s">
        <v>5</v>
      </c>
      <c r="C3" s="231"/>
      <c r="D3" s="231"/>
      <c r="E3" s="231"/>
      <c r="F3" s="231"/>
      <c r="G3" s="232"/>
      <c r="H3" s="236" t="s">
        <v>6</v>
      </c>
      <c r="I3" s="241" t="s">
        <v>7</v>
      </c>
      <c r="J3" s="243"/>
      <c r="K3" s="243"/>
      <c r="L3" s="243"/>
      <c r="M3" s="244"/>
      <c r="N3" s="241" t="s">
        <v>7</v>
      </c>
      <c r="O3" s="243"/>
      <c r="P3" s="244"/>
      <c r="Q3" s="45"/>
      <c r="R3" s="250" t="s">
        <v>8</v>
      </c>
      <c r="S3" s="251"/>
    </row>
    <row r="4" spans="1:27" ht="15.75" thickBot="1" x14ac:dyDescent="0.3">
      <c r="A4" s="229"/>
      <c r="B4" s="233"/>
      <c r="C4" s="234"/>
      <c r="D4" s="234"/>
      <c r="E4" s="234"/>
      <c r="F4" s="234"/>
      <c r="G4" s="235"/>
      <c r="H4" s="236"/>
      <c r="I4" s="241" t="s">
        <v>9</v>
      </c>
      <c r="J4" s="242"/>
      <c r="K4" s="241" t="s">
        <v>10</v>
      </c>
      <c r="L4" s="243"/>
      <c r="M4" s="244"/>
      <c r="N4" s="38" t="s">
        <v>9</v>
      </c>
      <c r="O4" s="2" t="s">
        <v>11</v>
      </c>
      <c r="P4" s="41"/>
      <c r="Q4" s="45"/>
      <c r="R4" s="2" t="s">
        <v>11</v>
      </c>
      <c r="S4" s="41"/>
    </row>
    <row r="5" spans="1:27" ht="42" customHeight="1" thickBot="1" x14ac:dyDescent="0.3">
      <c r="A5" s="254"/>
      <c r="B5" s="256" t="s">
        <v>13</v>
      </c>
      <c r="C5" s="256"/>
      <c r="D5" s="256"/>
      <c r="E5" s="256" t="s">
        <v>14</v>
      </c>
      <c r="F5" s="256"/>
      <c r="G5" s="256"/>
      <c r="H5" s="255"/>
      <c r="I5" s="2" t="s">
        <v>15</v>
      </c>
      <c r="J5" s="2" t="s">
        <v>16</v>
      </c>
      <c r="K5" s="2" t="s">
        <v>17</v>
      </c>
      <c r="L5" s="2" t="s">
        <v>18</v>
      </c>
      <c r="M5" s="3" t="s">
        <v>19</v>
      </c>
      <c r="N5" s="2" t="s">
        <v>15</v>
      </c>
      <c r="O5" s="2" t="s">
        <v>20</v>
      </c>
      <c r="P5" s="3" t="s">
        <v>12</v>
      </c>
      <c r="Q5" s="46" t="s">
        <v>21</v>
      </c>
      <c r="R5" s="2" t="s">
        <v>20</v>
      </c>
      <c r="S5" s="3" t="s">
        <v>12</v>
      </c>
      <c r="U5" s="246" t="s">
        <v>31</v>
      </c>
      <c r="V5" s="247"/>
      <c r="W5" s="247"/>
      <c r="X5" s="247"/>
      <c r="Y5" s="247"/>
      <c r="Z5" s="247"/>
      <c r="AA5" s="171"/>
    </row>
    <row r="6" spans="1:27" ht="15.75" thickBot="1" x14ac:dyDescent="0.3">
      <c r="A6" s="252" t="s">
        <v>22</v>
      </c>
      <c r="B6" s="253"/>
      <c r="C6" s="253"/>
      <c r="D6" s="253"/>
      <c r="E6" s="253"/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U6" s="172"/>
      <c r="V6" s="173"/>
      <c r="W6" s="173"/>
      <c r="X6" s="173"/>
      <c r="Y6" s="173"/>
      <c r="Z6" s="173"/>
      <c r="AA6" s="174"/>
    </row>
    <row r="7" spans="1:27" x14ac:dyDescent="0.25">
      <c r="A7" s="4" t="s">
        <v>23</v>
      </c>
      <c r="B7" s="5">
        <v>732</v>
      </c>
      <c r="C7" s="6" t="s">
        <v>24</v>
      </c>
      <c r="D7" s="7">
        <v>0</v>
      </c>
      <c r="E7" s="5">
        <v>733</v>
      </c>
      <c r="F7" s="6" t="s">
        <v>24</v>
      </c>
      <c r="G7" s="7">
        <v>0</v>
      </c>
      <c r="H7" s="8">
        <f t="shared" ref="H7:H13" si="0">(E7*1000+G7)-(B7*1000+D7)</f>
        <v>1000</v>
      </c>
      <c r="I7" s="9"/>
      <c r="J7" s="9"/>
      <c r="K7" s="16">
        <v>3681.8</v>
      </c>
      <c r="L7" s="16">
        <v>0</v>
      </c>
      <c r="M7" s="16">
        <v>3681.8</v>
      </c>
      <c r="O7" s="16">
        <v>0</v>
      </c>
      <c r="P7" s="16">
        <f>K7</f>
        <v>3681.8</v>
      </c>
      <c r="Q7" s="47">
        <f t="shared" ref="Q7:Q13" si="1">(O7/M7)*1</f>
        <v>0</v>
      </c>
      <c r="R7" s="17"/>
      <c r="S7" s="16">
        <v>759.7</v>
      </c>
      <c r="U7" s="21">
        <v>732</v>
      </c>
      <c r="V7" s="22" t="s">
        <v>24</v>
      </c>
      <c r="W7" s="23">
        <v>0</v>
      </c>
      <c r="X7" s="21">
        <v>733</v>
      </c>
      <c r="Y7" s="22" t="s">
        <v>24</v>
      </c>
      <c r="Z7" s="23">
        <v>0</v>
      </c>
      <c r="AA7" s="26">
        <f>S7</f>
        <v>759.7</v>
      </c>
    </row>
    <row r="8" spans="1:27" x14ac:dyDescent="0.25">
      <c r="A8" s="4" t="s">
        <v>23</v>
      </c>
      <c r="B8" s="5">
        <v>733</v>
      </c>
      <c r="C8" s="6" t="s">
        <v>24</v>
      </c>
      <c r="D8" s="7">
        <v>0</v>
      </c>
      <c r="E8" s="5">
        <v>734</v>
      </c>
      <c r="F8" s="6" t="s">
        <v>24</v>
      </c>
      <c r="G8" s="7">
        <v>0</v>
      </c>
      <c r="H8" s="8">
        <f t="shared" si="0"/>
        <v>1000</v>
      </c>
      <c r="I8" s="9"/>
      <c r="J8" s="9"/>
      <c r="K8" s="16">
        <v>1041.5</v>
      </c>
      <c r="L8" s="16">
        <v>0</v>
      </c>
      <c r="M8" s="16">
        <v>3041.5</v>
      </c>
      <c r="O8" s="16">
        <v>0</v>
      </c>
      <c r="P8" s="16">
        <f t="shared" ref="P8:P13" si="2">K8</f>
        <v>1041.5</v>
      </c>
      <c r="Q8" s="47">
        <f t="shared" si="1"/>
        <v>0</v>
      </c>
      <c r="R8" s="17"/>
      <c r="S8" s="16">
        <v>569.6</v>
      </c>
      <c r="U8" s="5">
        <v>733</v>
      </c>
      <c r="V8" s="6" t="s">
        <v>24</v>
      </c>
      <c r="W8" s="7">
        <v>0</v>
      </c>
      <c r="X8" s="5">
        <v>734</v>
      </c>
      <c r="Y8" s="6" t="s">
        <v>24</v>
      </c>
      <c r="Z8" s="7">
        <v>0</v>
      </c>
      <c r="AA8" s="16">
        <f t="shared" ref="AA8:AA10" si="3">S8</f>
        <v>569.6</v>
      </c>
    </row>
    <row r="9" spans="1:27" x14ac:dyDescent="0.25">
      <c r="A9" s="4" t="s">
        <v>23</v>
      </c>
      <c r="B9" s="5">
        <v>734</v>
      </c>
      <c r="C9" s="6" t="s">
        <v>24</v>
      </c>
      <c r="D9" s="7">
        <v>0</v>
      </c>
      <c r="E9" s="5">
        <v>735</v>
      </c>
      <c r="F9" s="6" t="s">
        <v>24</v>
      </c>
      <c r="G9" s="7">
        <v>0</v>
      </c>
      <c r="H9" s="8">
        <f t="shared" si="0"/>
        <v>1000</v>
      </c>
      <c r="I9" s="9"/>
      <c r="J9" s="9"/>
      <c r="K9" s="16">
        <v>10181.799999999999</v>
      </c>
      <c r="L9" s="16">
        <v>0</v>
      </c>
      <c r="M9" s="9">
        <v>10181.799999999999</v>
      </c>
      <c r="O9" s="16">
        <v>0</v>
      </c>
      <c r="P9" s="16">
        <f t="shared" si="2"/>
        <v>10181.799999999999</v>
      </c>
      <c r="Q9" s="47">
        <f>(O9/M9)*1</f>
        <v>0</v>
      </c>
      <c r="R9" s="17"/>
      <c r="S9" s="16">
        <v>869.8</v>
      </c>
      <c r="U9" s="5">
        <v>734</v>
      </c>
      <c r="V9" s="6" t="s">
        <v>24</v>
      </c>
      <c r="W9" s="7">
        <v>0</v>
      </c>
      <c r="X9" s="5">
        <v>735</v>
      </c>
      <c r="Y9" s="6" t="s">
        <v>24</v>
      </c>
      <c r="Z9" s="7">
        <v>0</v>
      </c>
      <c r="AA9" s="16">
        <f t="shared" si="3"/>
        <v>869.8</v>
      </c>
    </row>
    <row r="10" spans="1:27" x14ac:dyDescent="0.25">
      <c r="A10" s="4" t="s">
        <v>23</v>
      </c>
      <c r="B10" s="5">
        <v>735</v>
      </c>
      <c r="C10" s="6" t="s">
        <v>24</v>
      </c>
      <c r="D10" s="7">
        <v>0</v>
      </c>
      <c r="E10" s="5">
        <v>736</v>
      </c>
      <c r="F10" s="6" t="s">
        <v>24</v>
      </c>
      <c r="G10" s="7">
        <v>0</v>
      </c>
      <c r="H10" s="8">
        <f>(E10*1000+G10)-(B10*1000+D10)</f>
        <v>1000</v>
      </c>
      <c r="I10" s="9"/>
      <c r="J10" s="9"/>
      <c r="K10" s="16">
        <v>4226.6000000000004</v>
      </c>
      <c r="L10" s="16">
        <v>0</v>
      </c>
      <c r="M10" s="9">
        <v>4226.6000000000004</v>
      </c>
      <c r="O10" s="16">
        <v>0</v>
      </c>
      <c r="P10" s="16">
        <f>K10</f>
        <v>4226.6000000000004</v>
      </c>
      <c r="Q10" s="47">
        <f>(O10/M10)*1</f>
        <v>0</v>
      </c>
      <c r="R10" s="17"/>
      <c r="S10" s="16">
        <v>0</v>
      </c>
      <c r="U10" s="5">
        <v>735</v>
      </c>
      <c r="V10" s="6" t="s">
        <v>24</v>
      </c>
      <c r="W10" s="7">
        <v>0</v>
      </c>
      <c r="X10" s="5">
        <v>736</v>
      </c>
      <c r="Y10" s="6" t="s">
        <v>24</v>
      </c>
      <c r="Z10" s="7">
        <v>0</v>
      </c>
      <c r="AA10" s="16">
        <f t="shared" si="3"/>
        <v>0</v>
      </c>
    </row>
    <row r="11" spans="1:27" ht="15.75" thickBot="1" x14ac:dyDescent="0.3">
      <c r="A11" s="130" t="s">
        <v>23</v>
      </c>
      <c r="B11" s="131">
        <v>736</v>
      </c>
      <c r="C11" s="132" t="s">
        <v>24</v>
      </c>
      <c r="D11" s="133">
        <v>0</v>
      </c>
      <c r="E11" s="131">
        <v>736</v>
      </c>
      <c r="F11" s="132" t="s">
        <v>24</v>
      </c>
      <c r="G11" s="133">
        <v>380</v>
      </c>
      <c r="H11" s="134">
        <f t="shared" ref="H11" si="4">(E11*1000+G11)-(B11*1000+D11)</f>
        <v>380</v>
      </c>
      <c r="I11" s="135"/>
      <c r="J11" s="135"/>
      <c r="K11" s="136"/>
      <c r="L11" s="136">
        <v>0</v>
      </c>
      <c r="M11" s="135">
        <v>8396.7999999999993</v>
      </c>
      <c r="N11" s="137"/>
      <c r="O11" s="136">
        <v>0</v>
      </c>
      <c r="P11" s="136">
        <v>8396.7999999999993</v>
      </c>
      <c r="Q11" s="138"/>
      <c r="R11" s="139"/>
      <c r="S11" s="136">
        <v>8396.7999999999993</v>
      </c>
      <c r="U11" s="131">
        <v>736</v>
      </c>
      <c r="V11" s="132" t="s">
        <v>24</v>
      </c>
      <c r="W11" s="133">
        <v>0</v>
      </c>
      <c r="X11" s="131">
        <v>736</v>
      </c>
      <c r="Y11" s="132" t="s">
        <v>24</v>
      </c>
      <c r="Z11" s="133">
        <v>380</v>
      </c>
      <c r="AA11" s="175">
        <v>8396.7999999999993</v>
      </c>
    </row>
    <row r="12" spans="1:27" ht="15.75" thickBot="1" x14ac:dyDescent="0.3">
      <c r="A12" s="4" t="s">
        <v>32</v>
      </c>
      <c r="B12" s="5">
        <v>732</v>
      </c>
      <c r="C12" s="6" t="s">
        <v>24</v>
      </c>
      <c r="D12" s="7">
        <v>0</v>
      </c>
      <c r="E12" s="5">
        <v>733</v>
      </c>
      <c r="F12" s="6" t="s">
        <v>24</v>
      </c>
      <c r="G12" s="7">
        <v>0</v>
      </c>
      <c r="H12" s="8">
        <f t="shared" si="0"/>
        <v>1000</v>
      </c>
      <c r="I12" s="9"/>
      <c r="J12" s="9"/>
      <c r="K12" s="16">
        <v>11152.5</v>
      </c>
      <c r="L12" s="16">
        <v>0</v>
      </c>
      <c r="M12" s="9">
        <v>11152.5</v>
      </c>
      <c r="O12" s="16">
        <v>0</v>
      </c>
      <c r="P12" s="16">
        <f t="shared" si="2"/>
        <v>11152.5</v>
      </c>
      <c r="Q12" s="47">
        <f t="shared" si="1"/>
        <v>0</v>
      </c>
      <c r="R12" s="17"/>
      <c r="S12" s="16">
        <v>11029.7</v>
      </c>
      <c r="AA12" s="13">
        <f>SUM(AA7:AA11)</f>
        <v>10595.9</v>
      </c>
    </row>
    <row r="13" spans="1:27" ht="15.75" thickBot="1" x14ac:dyDescent="0.3">
      <c r="A13" s="4" t="s">
        <v>32</v>
      </c>
      <c r="B13" s="5">
        <v>733</v>
      </c>
      <c r="C13" s="6" t="s">
        <v>24</v>
      </c>
      <c r="D13" s="7">
        <v>0</v>
      </c>
      <c r="E13" s="5">
        <v>734</v>
      </c>
      <c r="F13" s="6" t="s">
        <v>24</v>
      </c>
      <c r="G13" s="7">
        <v>0</v>
      </c>
      <c r="H13" s="8">
        <f t="shared" si="0"/>
        <v>1000</v>
      </c>
      <c r="I13" s="9"/>
      <c r="J13" s="9"/>
      <c r="K13" s="16">
        <v>11949.9</v>
      </c>
      <c r="L13" s="16">
        <v>0</v>
      </c>
      <c r="M13" s="17">
        <v>11949.9</v>
      </c>
      <c r="O13" s="16">
        <v>0</v>
      </c>
      <c r="P13" s="16">
        <f t="shared" si="2"/>
        <v>11949.9</v>
      </c>
      <c r="Q13" s="47">
        <f t="shared" si="1"/>
        <v>0</v>
      </c>
      <c r="R13" s="17"/>
      <c r="S13" s="16">
        <v>8750.1</v>
      </c>
    </row>
    <row r="14" spans="1:27" ht="15" customHeight="1" thickBot="1" x14ac:dyDescent="0.3">
      <c r="A14" s="4" t="s">
        <v>32</v>
      </c>
      <c r="B14" s="5">
        <v>734</v>
      </c>
      <c r="C14" s="6" t="s">
        <v>24</v>
      </c>
      <c r="D14" s="7">
        <v>0</v>
      </c>
      <c r="E14" s="5">
        <v>734</v>
      </c>
      <c r="F14" s="6" t="s">
        <v>24</v>
      </c>
      <c r="G14" s="7">
        <v>220</v>
      </c>
      <c r="H14" s="8">
        <f t="shared" ref="H14" si="5">(E14*1000+G14)-(B14*1000+D14)</f>
        <v>220</v>
      </c>
      <c r="I14" s="9"/>
      <c r="J14" s="9"/>
      <c r="K14" s="16">
        <v>3186.1</v>
      </c>
      <c r="L14" s="16">
        <v>0</v>
      </c>
      <c r="M14" s="17">
        <v>3186.1</v>
      </c>
      <c r="O14" s="16">
        <v>0</v>
      </c>
      <c r="P14" s="16">
        <f t="shared" ref="P14" si="6">K14</f>
        <v>3186.1</v>
      </c>
      <c r="Q14" s="47">
        <f t="shared" ref="Q14" si="7">(O14/M14)*1</f>
        <v>0</v>
      </c>
      <c r="R14" s="17"/>
      <c r="S14" s="16">
        <v>3045.1</v>
      </c>
      <c r="U14" s="246" t="s">
        <v>33</v>
      </c>
      <c r="V14" s="247"/>
      <c r="W14" s="247"/>
      <c r="X14" s="247"/>
      <c r="Y14" s="247"/>
      <c r="Z14" s="247"/>
      <c r="AA14" s="248"/>
    </row>
    <row r="15" spans="1:27" ht="15.75" thickBot="1" x14ac:dyDescent="0.3">
      <c r="A15" s="11" t="str">
        <f>"TOTAL - "&amp;A6</f>
        <v>TOTAL - RODOVIA</v>
      </c>
      <c r="B15" s="12"/>
      <c r="C15" s="12"/>
      <c r="D15" s="12"/>
      <c r="E15" s="12"/>
      <c r="F15" s="12"/>
      <c r="G15" s="12"/>
      <c r="H15" s="12"/>
      <c r="I15" s="13">
        <f>SUM(I7:I14)</f>
        <v>0</v>
      </c>
      <c r="J15" s="13">
        <f>SUM(J7:J14)</f>
        <v>0</v>
      </c>
      <c r="K15" s="13">
        <f>SUM(K7:K14)</f>
        <v>45420.2</v>
      </c>
      <c r="L15" s="13">
        <f>SUM(L7:L14)</f>
        <v>0</v>
      </c>
      <c r="M15" s="13">
        <f>SUM(M7:M14)</f>
        <v>55817</v>
      </c>
      <c r="N15" s="48"/>
      <c r="O15" s="13">
        <f>SUM(O7:O14)</f>
        <v>0</v>
      </c>
      <c r="P15" s="13">
        <f>SUM(P7:P14)</f>
        <v>53817</v>
      </c>
      <c r="Q15" s="13"/>
      <c r="R15" s="13"/>
      <c r="S15" s="13">
        <f>SUM(S7:S14)</f>
        <v>33420.799999999996</v>
      </c>
      <c r="U15" s="172"/>
      <c r="V15" s="173"/>
      <c r="W15" s="173"/>
      <c r="X15" s="173"/>
      <c r="Y15" s="173"/>
      <c r="Z15" s="173"/>
      <c r="AA15" s="174"/>
    </row>
    <row r="16" spans="1:27" ht="15.75" thickBot="1" x14ac:dyDescent="0.3">
      <c r="A16" s="11"/>
      <c r="B16" s="12"/>
      <c r="C16" s="12"/>
      <c r="D16" s="12"/>
      <c r="E16" s="12"/>
      <c r="F16" s="12"/>
      <c r="G16" s="12"/>
      <c r="H16" s="12"/>
      <c r="I16" s="13"/>
      <c r="J16" s="13"/>
      <c r="K16" s="13"/>
      <c r="L16" s="13"/>
      <c r="M16" s="13"/>
      <c r="N16" s="13"/>
      <c r="U16" s="5">
        <v>732</v>
      </c>
      <c r="V16" s="6" t="s">
        <v>24</v>
      </c>
      <c r="W16" s="7">
        <v>0</v>
      </c>
      <c r="X16" s="5">
        <v>733</v>
      </c>
      <c r="Y16" s="6" t="s">
        <v>24</v>
      </c>
      <c r="Z16" s="7">
        <v>0</v>
      </c>
      <c r="AA16" s="26">
        <f>S12</f>
        <v>11029.7</v>
      </c>
    </row>
    <row r="17" spans="1:27" ht="15.75" thickBot="1" x14ac:dyDescent="0.3">
      <c r="A17" s="11"/>
      <c r="B17" s="12"/>
      <c r="C17" s="12"/>
      <c r="D17" s="12"/>
      <c r="E17" s="12"/>
      <c r="F17" s="12"/>
      <c r="G17" s="12"/>
      <c r="H17" s="13"/>
      <c r="I17" s="14"/>
      <c r="J17" s="14"/>
      <c r="K17" s="14"/>
      <c r="L17" s="14"/>
      <c r="M17" s="14"/>
      <c r="N17" s="14"/>
      <c r="U17" s="5">
        <v>733</v>
      </c>
      <c r="V17" s="6" t="s">
        <v>24</v>
      </c>
      <c r="W17" s="7">
        <v>0</v>
      </c>
      <c r="X17" s="5">
        <v>734</v>
      </c>
      <c r="Y17" s="6" t="s">
        <v>24</v>
      </c>
      <c r="Z17" s="7">
        <v>0</v>
      </c>
      <c r="AA17" s="26">
        <f t="shared" ref="AA17:AA18" si="8">S13</f>
        <v>8750.1</v>
      </c>
    </row>
    <row r="18" spans="1:27" ht="15.75" thickBot="1" x14ac:dyDescent="0.3">
      <c r="U18" s="5">
        <v>734</v>
      </c>
      <c r="V18" s="6" t="s">
        <v>24</v>
      </c>
      <c r="W18" s="7">
        <v>0</v>
      </c>
      <c r="X18" s="5">
        <v>734</v>
      </c>
      <c r="Y18" s="6" t="s">
        <v>24</v>
      </c>
      <c r="Z18" s="7">
        <v>220</v>
      </c>
      <c r="AA18" s="26">
        <f t="shared" si="8"/>
        <v>3045.1</v>
      </c>
    </row>
    <row r="19" spans="1:27" ht="15.75" thickBot="1" x14ac:dyDescent="0.3">
      <c r="AA19" s="13">
        <f>SUM(AA16:AA18)</f>
        <v>22824.9</v>
      </c>
    </row>
    <row r="20" spans="1:27" x14ac:dyDescent="0.25">
      <c r="K20" s="94"/>
    </row>
  </sheetData>
  <mergeCells count="15">
    <mergeCell ref="U5:Z5"/>
    <mergeCell ref="U14:AA14"/>
    <mergeCell ref="A1:Q1"/>
    <mergeCell ref="O2:Q2"/>
    <mergeCell ref="I3:M3"/>
    <mergeCell ref="N3:P3"/>
    <mergeCell ref="K4:M4"/>
    <mergeCell ref="R3:S3"/>
    <mergeCell ref="A6:S6"/>
    <mergeCell ref="A3:A5"/>
    <mergeCell ref="B3:G4"/>
    <mergeCell ref="H3:H5"/>
    <mergeCell ref="I4:J4"/>
    <mergeCell ref="B5:D5"/>
    <mergeCell ref="E5:G5"/>
  </mergeCells>
  <pageMargins left="0.511811024" right="0.511811024" top="0.78740157499999996" bottom="0.78740157499999996" header="0.31496062000000002" footer="0.31496062000000002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1785-ED8E-42D4-B770-B95DDAB75C66}">
  <dimension ref="A1:Y45"/>
  <sheetViews>
    <sheetView topLeftCell="H1" workbookViewId="0">
      <selection activeCell="O16" sqref="O16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1406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1" width="17.7109375" customWidth="1"/>
    <col min="12" max="12" width="18.7109375" style="40" bestFit="1" customWidth="1"/>
    <col min="13" max="13" width="17.7109375" customWidth="1"/>
    <col min="14" max="14" width="14.7109375" customWidth="1"/>
    <col min="15" max="15" width="13.28515625" customWidth="1"/>
    <col min="16" max="16" width="11.28515625" customWidth="1"/>
    <col min="17" max="17" width="11.7109375" customWidth="1"/>
    <col min="18" max="18" width="2" customWidth="1"/>
    <col min="19" max="19" width="7.28515625" customWidth="1"/>
    <col min="20" max="20" width="7.7109375" customWidth="1"/>
    <col min="21" max="21" width="3" customWidth="1"/>
    <col min="22" max="22" width="6.5703125" style="40" customWidth="1"/>
    <col min="23" max="23" width="11.5703125" style="40" customWidth="1"/>
    <col min="25" max="25" width="10" bestFit="1" customWidth="1"/>
  </cols>
  <sheetData>
    <row r="1" spans="1:23" ht="16.5" x14ac:dyDescent="0.25">
      <c r="A1" s="263" t="s">
        <v>0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5"/>
    </row>
    <row r="2" spans="1:23" x14ac:dyDescent="0.25">
      <c r="A2" s="1" t="s">
        <v>34</v>
      </c>
      <c r="B2" s="266" t="s">
        <v>2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8"/>
      <c r="N2" s="102" t="s">
        <v>3</v>
      </c>
      <c r="O2" s="103">
        <f>'SEGMENTO-01'!S2</f>
        <v>46241</v>
      </c>
      <c r="P2" s="149"/>
      <c r="Q2" s="149"/>
      <c r="R2" s="149"/>
      <c r="S2" s="149"/>
      <c r="T2" s="149"/>
      <c r="U2" s="149"/>
    </row>
    <row r="3" spans="1:23" x14ac:dyDescent="0.25">
      <c r="A3" s="229" t="s">
        <v>4</v>
      </c>
      <c r="B3" s="230" t="s">
        <v>5</v>
      </c>
      <c r="C3" s="231"/>
      <c r="D3" s="231"/>
      <c r="E3" s="231"/>
      <c r="F3" s="231"/>
      <c r="G3" s="232"/>
      <c r="H3" s="236" t="s">
        <v>6</v>
      </c>
      <c r="I3" s="243"/>
      <c r="J3" s="243"/>
      <c r="K3" s="243"/>
      <c r="L3" s="243"/>
      <c r="M3" s="244"/>
      <c r="N3" s="250" t="s">
        <v>8</v>
      </c>
      <c r="O3" s="251"/>
      <c r="P3" s="40"/>
      <c r="Q3" s="40"/>
      <c r="R3" s="40"/>
      <c r="S3" s="40"/>
      <c r="T3" s="40"/>
      <c r="U3" s="40"/>
    </row>
    <row r="4" spans="1:23" ht="15.75" thickBot="1" x14ac:dyDescent="0.3">
      <c r="A4" s="229"/>
      <c r="B4" s="233"/>
      <c r="C4" s="234"/>
      <c r="D4" s="234"/>
      <c r="E4" s="234"/>
      <c r="F4" s="234"/>
      <c r="G4" s="235"/>
      <c r="H4" s="236"/>
      <c r="I4" s="72"/>
      <c r="J4" s="241" t="s">
        <v>35</v>
      </c>
      <c r="K4" s="243"/>
      <c r="L4" s="243"/>
      <c r="M4" s="244"/>
      <c r="N4" s="2" t="s">
        <v>11</v>
      </c>
      <c r="O4" s="41"/>
      <c r="P4" s="150"/>
      <c r="Q4" s="150"/>
      <c r="R4" s="150"/>
      <c r="S4" s="150"/>
      <c r="T4" s="150"/>
      <c r="U4" s="150"/>
    </row>
    <row r="5" spans="1:23" ht="42" customHeight="1" thickBot="1" x14ac:dyDescent="0.3">
      <c r="A5" s="229"/>
      <c r="B5" s="245" t="s">
        <v>13</v>
      </c>
      <c r="C5" s="245"/>
      <c r="D5" s="245"/>
      <c r="E5" s="245" t="s">
        <v>14</v>
      </c>
      <c r="F5" s="245"/>
      <c r="G5" s="245"/>
      <c r="H5" s="237"/>
      <c r="I5" s="18" t="s">
        <v>16</v>
      </c>
      <c r="J5" s="18" t="s">
        <v>17</v>
      </c>
      <c r="K5" s="18" t="s">
        <v>36</v>
      </c>
      <c r="L5" s="18" t="s">
        <v>18</v>
      </c>
      <c r="M5" s="19" t="s">
        <v>19</v>
      </c>
      <c r="N5" s="2" t="s">
        <v>20</v>
      </c>
      <c r="O5" s="3" t="s">
        <v>12</v>
      </c>
      <c r="P5" s="151"/>
      <c r="Q5" s="257" t="s">
        <v>37</v>
      </c>
      <c r="R5" s="258"/>
      <c r="S5" s="258"/>
      <c r="T5" s="258"/>
      <c r="U5" s="258"/>
      <c r="V5" s="258"/>
      <c r="W5" s="259"/>
    </row>
    <row r="6" spans="1:23" ht="15.75" thickBot="1" x14ac:dyDescent="0.3">
      <c r="A6" s="260" t="s">
        <v>22</v>
      </c>
      <c r="B6" s="261"/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2"/>
      <c r="N6" s="260"/>
      <c r="O6" s="261"/>
      <c r="P6" s="162"/>
      <c r="Q6" s="163"/>
      <c r="R6" s="164"/>
      <c r="S6" s="164"/>
      <c r="T6" s="164"/>
      <c r="U6" s="164"/>
      <c r="V6" s="154"/>
      <c r="W6" s="160"/>
    </row>
    <row r="7" spans="1:23" x14ac:dyDescent="0.25">
      <c r="A7" s="140" t="s">
        <v>23</v>
      </c>
      <c r="B7" s="141">
        <v>736</v>
      </c>
      <c r="C7" s="142" t="s">
        <v>24</v>
      </c>
      <c r="D7" s="143">
        <v>0</v>
      </c>
      <c r="E7" s="141">
        <v>736</v>
      </c>
      <c r="F7" s="142" t="s">
        <v>24</v>
      </c>
      <c r="G7" s="143">
        <v>380</v>
      </c>
      <c r="H7" s="144">
        <f t="shared" ref="H7:H10" si="0">(E7*1000+G7)-(B7*1000+D7)</f>
        <v>380</v>
      </c>
      <c r="I7" s="145"/>
      <c r="J7" s="146">
        <v>32188.199999999997</v>
      </c>
      <c r="K7" s="145">
        <v>0</v>
      </c>
      <c r="L7" s="147">
        <v>442.8</v>
      </c>
      <c r="M7" s="148">
        <f>J7+K7+L7</f>
        <v>32630.999999999996</v>
      </c>
      <c r="N7" s="147"/>
      <c r="O7" s="136">
        <v>8396.7999999999993</v>
      </c>
      <c r="P7" s="166"/>
      <c r="Q7" s="167">
        <v>736</v>
      </c>
      <c r="R7" s="165" t="s">
        <v>24</v>
      </c>
      <c r="S7" s="165">
        <v>0</v>
      </c>
      <c r="T7" s="169">
        <v>736</v>
      </c>
      <c r="U7" s="165" t="s">
        <v>24</v>
      </c>
      <c r="V7" s="153">
        <v>380</v>
      </c>
      <c r="W7" s="160"/>
    </row>
    <row r="8" spans="1:23" x14ac:dyDescent="0.25">
      <c r="A8" s="20" t="s">
        <v>23</v>
      </c>
      <c r="B8" s="21">
        <v>736</v>
      </c>
      <c r="C8" s="22" t="s">
        <v>24</v>
      </c>
      <c r="D8" s="23">
        <v>640</v>
      </c>
      <c r="E8" s="21">
        <v>737</v>
      </c>
      <c r="F8" s="22" t="s">
        <v>24</v>
      </c>
      <c r="G8" s="23">
        <v>0</v>
      </c>
      <c r="H8" s="24">
        <f t="shared" ref="H8" si="1">(E8*1000+G8)-(B8*1000+D8)</f>
        <v>360</v>
      </c>
      <c r="I8" s="25"/>
      <c r="J8" s="26">
        <v>32188.199999999997</v>
      </c>
      <c r="K8" s="25">
        <v>0</v>
      </c>
      <c r="L8" s="99">
        <v>442.8</v>
      </c>
      <c r="M8" s="27">
        <f>J8+K8+L8-O7</f>
        <v>24234.199999999997</v>
      </c>
      <c r="N8" s="99"/>
      <c r="O8" s="27">
        <v>14097.4</v>
      </c>
      <c r="P8" s="100"/>
      <c r="Q8" s="168">
        <v>736</v>
      </c>
      <c r="R8" s="153" t="s">
        <v>24</v>
      </c>
      <c r="S8" s="153">
        <v>640</v>
      </c>
      <c r="T8" s="170">
        <v>737</v>
      </c>
      <c r="U8" s="153" t="s">
        <v>24</v>
      </c>
      <c r="V8" s="153">
        <v>0</v>
      </c>
      <c r="W8" s="155">
        <v>18895.3</v>
      </c>
    </row>
    <row r="9" spans="1:23" x14ac:dyDescent="0.25">
      <c r="A9" s="4" t="s">
        <v>23</v>
      </c>
      <c r="B9" s="21">
        <v>737</v>
      </c>
      <c r="C9" s="6" t="s">
        <v>24</v>
      </c>
      <c r="D9" s="7">
        <v>0</v>
      </c>
      <c r="E9" s="21">
        <v>738</v>
      </c>
      <c r="F9" s="6" t="s">
        <v>24</v>
      </c>
      <c r="G9" s="23">
        <v>0</v>
      </c>
      <c r="H9" s="8">
        <f t="shared" si="0"/>
        <v>1000</v>
      </c>
      <c r="I9" s="9"/>
      <c r="J9" s="16">
        <v>3103.1</v>
      </c>
      <c r="K9" s="9">
        <v>0</v>
      </c>
      <c r="L9" s="26">
        <v>5977.7</v>
      </c>
      <c r="M9" s="27">
        <f>J9+K9+L9</f>
        <v>9080.7999999999993</v>
      </c>
      <c r="N9" s="26">
        <f>M9</f>
        <v>9080.7999999999993</v>
      </c>
      <c r="O9" s="27">
        <v>0</v>
      </c>
      <c r="P9" s="100"/>
      <c r="Q9" s="168">
        <v>737</v>
      </c>
      <c r="R9" s="153" t="s">
        <v>24</v>
      </c>
      <c r="S9" s="153">
        <v>0</v>
      </c>
      <c r="T9" s="170">
        <v>738</v>
      </c>
      <c r="U9" s="153" t="s">
        <v>24</v>
      </c>
      <c r="V9" s="153">
        <v>0</v>
      </c>
      <c r="W9" s="161">
        <f>O9</f>
        <v>0</v>
      </c>
    </row>
    <row r="10" spans="1:23" x14ac:dyDescent="0.25">
      <c r="A10" s="4" t="s">
        <v>23</v>
      </c>
      <c r="B10" s="21">
        <v>738</v>
      </c>
      <c r="C10" s="6" t="s">
        <v>24</v>
      </c>
      <c r="D10" s="7">
        <v>0</v>
      </c>
      <c r="E10" s="21">
        <v>739</v>
      </c>
      <c r="F10" s="6" t="s">
        <v>24</v>
      </c>
      <c r="G10" s="23">
        <v>0</v>
      </c>
      <c r="H10" s="8">
        <f t="shared" si="0"/>
        <v>1000</v>
      </c>
      <c r="I10" s="9"/>
      <c r="J10" s="16">
        <v>16351.8</v>
      </c>
      <c r="K10" s="9">
        <v>0</v>
      </c>
      <c r="L10" s="26">
        <v>3653.4</v>
      </c>
      <c r="M10" s="27">
        <f t="shared" ref="M10:M17" si="2">J10+K10+L10</f>
        <v>20005.2</v>
      </c>
      <c r="N10" s="26">
        <f>M10-O10</f>
        <v>19699</v>
      </c>
      <c r="O10" s="27">
        <v>306.2</v>
      </c>
      <c r="P10" s="100"/>
      <c r="Q10" s="168">
        <v>738</v>
      </c>
      <c r="R10" s="153" t="s">
        <v>24</v>
      </c>
      <c r="S10" s="153">
        <v>0</v>
      </c>
      <c r="T10" s="170">
        <v>739</v>
      </c>
      <c r="U10" s="153" t="s">
        <v>24</v>
      </c>
      <c r="V10" s="153">
        <v>0</v>
      </c>
      <c r="W10" s="161">
        <f t="shared" ref="W10:W17" si="3">O10</f>
        <v>306.2</v>
      </c>
    </row>
    <row r="11" spans="1:23" x14ac:dyDescent="0.25">
      <c r="A11" s="4" t="s">
        <v>23</v>
      </c>
      <c r="B11" s="21">
        <v>739</v>
      </c>
      <c r="C11" s="6" t="s">
        <v>24</v>
      </c>
      <c r="D11" s="7">
        <v>0</v>
      </c>
      <c r="E11" s="21">
        <v>740</v>
      </c>
      <c r="F11" s="6" t="s">
        <v>24</v>
      </c>
      <c r="G11" s="23">
        <v>0</v>
      </c>
      <c r="H11" s="8">
        <f>(E11*1000+G11)-(B11*1000+D11)</f>
        <v>1000</v>
      </c>
      <c r="I11" s="9"/>
      <c r="J11" s="16">
        <v>13604.5</v>
      </c>
      <c r="K11" s="9">
        <v>0</v>
      </c>
      <c r="L11" s="26">
        <v>3822.8</v>
      </c>
      <c r="M11" s="27">
        <f t="shared" si="2"/>
        <v>17427.3</v>
      </c>
      <c r="N11" s="26">
        <f>M11-O11</f>
        <v>17136.5</v>
      </c>
      <c r="O11" s="27">
        <v>290.8</v>
      </c>
      <c r="P11" s="100"/>
      <c r="Q11" s="168">
        <v>739</v>
      </c>
      <c r="R11" s="153" t="s">
        <v>24</v>
      </c>
      <c r="S11" s="153">
        <v>0</v>
      </c>
      <c r="T11" s="170">
        <v>740</v>
      </c>
      <c r="U11" s="153" t="s">
        <v>24</v>
      </c>
      <c r="V11" s="153">
        <v>0</v>
      </c>
      <c r="W11" s="161">
        <f t="shared" si="3"/>
        <v>290.8</v>
      </c>
    </row>
    <row r="12" spans="1:23" x14ac:dyDescent="0.25">
      <c r="A12" s="4" t="s">
        <v>23</v>
      </c>
      <c r="B12" s="21">
        <v>740</v>
      </c>
      <c r="C12" s="6" t="s">
        <v>24</v>
      </c>
      <c r="D12" s="7">
        <v>0</v>
      </c>
      <c r="E12" s="21">
        <v>741</v>
      </c>
      <c r="F12" s="6" t="s">
        <v>24</v>
      </c>
      <c r="G12" s="23">
        <v>0</v>
      </c>
      <c r="H12" s="8">
        <f>(E12*1000+G12)-(B12*1000+D12)</f>
        <v>1000</v>
      </c>
      <c r="I12" s="9"/>
      <c r="J12" s="16">
        <v>4863.3999999999996</v>
      </c>
      <c r="K12" s="9">
        <v>0</v>
      </c>
      <c r="L12" s="26">
        <v>4904</v>
      </c>
      <c r="M12" s="27">
        <f t="shared" si="2"/>
        <v>9767.4</v>
      </c>
      <c r="N12" s="26"/>
      <c r="O12" s="27">
        <v>70</v>
      </c>
      <c r="P12" s="100"/>
      <c r="Q12" s="168">
        <v>740</v>
      </c>
      <c r="R12" s="153" t="s">
        <v>24</v>
      </c>
      <c r="S12" s="153">
        <v>0</v>
      </c>
      <c r="T12" s="170">
        <v>741</v>
      </c>
      <c r="U12" s="153" t="s">
        <v>24</v>
      </c>
      <c r="V12" s="153">
        <v>0</v>
      </c>
      <c r="W12" s="161">
        <f t="shared" si="3"/>
        <v>70</v>
      </c>
    </row>
    <row r="13" spans="1:23" x14ac:dyDescent="0.25">
      <c r="A13" s="4" t="s">
        <v>23</v>
      </c>
      <c r="B13" s="21">
        <v>741</v>
      </c>
      <c r="C13" s="6" t="s">
        <v>24</v>
      </c>
      <c r="D13" s="7">
        <v>0</v>
      </c>
      <c r="E13" s="21">
        <v>742</v>
      </c>
      <c r="F13" s="6" t="s">
        <v>24</v>
      </c>
      <c r="G13" s="23">
        <v>0</v>
      </c>
      <c r="H13" s="8">
        <f>(E13*1000+G13)-(B13*1000+D13)</f>
        <v>1000</v>
      </c>
      <c r="I13" s="9"/>
      <c r="J13" s="16">
        <v>3883.7</v>
      </c>
      <c r="K13" s="9">
        <v>0</v>
      </c>
      <c r="L13" s="26">
        <v>4804</v>
      </c>
      <c r="M13" s="27">
        <f t="shared" si="2"/>
        <v>8687.7000000000007</v>
      </c>
      <c r="N13" s="26"/>
      <c r="O13" s="27">
        <v>857.5</v>
      </c>
      <c r="P13" s="100"/>
      <c r="Q13" s="168">
        <v>741</v>
      </c>
      <c r="R13" s="153" t="s">
        <v>24</v>
      </c>
      <c r="S13" s="153">
        <v>0</v>
      </c>
      <c r="T13" s="170">
        <v>742</v>
      </c>
      <c r="U13" s="153" t="s">
        <v>24</v>
      </c>
      <c r="V13" s="153">
        <v>0</v>
      </c>
      <c r="W13" s="161">
        <f t="shared" si="3"/>
        <v>857.5</v>
      </c>
    </row>
    <row r="14" spans="1:23" x14ac:dyDescent="0.25">
      <c r="A14" s="4" t="s">
        <v>23</v>
      </c>
      <c r="B14" s="21">
        <v>742</v>
      </c>
      <c r="C14" s="6" t="s">
        <v>24</v>
      </c>
      <c r="D14" s="7">
        <v>0</v>
      </c>
      <c r="E14" s="21">
        <v>743</v>
      </c>
      <c r="F14" s="6" t="s">
        <v>24</v>
      </c>
      <c r="G14" s="23">
        <v>0</v>
      </c>
      <c r="H14" s="8">
        <f t="shared" ref="H14:H17" si="4">(E14*1000+G14)-(B14*1000+D14)</f>
        <v>1000</v>
      </c>
      <c r="I14" s="9"/>
      <c r="J14" s="16">
        <v>2483</v>
      </c>
      <c r="K14" s="9">
        <v>0</v>
      </c>
      <c r="L14" s="26">
        <v>6588.4</v>
      </c>
      <c r="M14" s="27">
        <f t="shared" si="2"/>
        <v>9071.4</v>
      </c>
      <c r="N14" s="26"/>
      <c r="O14" s="27">
        <v>387.7</v>
      </c>
      <c r="P14" s="100"/>
      <c r="Q14" s="168">
        <v>742</v>
      </c>
      <c r="R14" s="153" t="s">
        <v>24</v>
      </c>
      <c r="S14" s="153">
        <v>0</v>
      </c>
      <c r="T14" s="170">
        <v>743</v>
      </c>
      <c r="U14" s="153" t="s">
        <v>24</v>
      </c>
      <c r="V14" s="153">
        <v>0</v>
      </c>
      <c r="W14" s="161">
        <f t="shared" si="3"/>
        <v>387.7</v>
      </c>
    </row>
    <row r="15" spans="1:23" ht="15.75" customHeight="1" x14ac:dyDescent="0.25">
      <c r="A15" s="4" t="s">
        <v>23</v>
      </c>
      <c r="B15" s="21">
        <v>743</v>
      </c>
      <c r="C15" s="6" t="s">
        <v>24</v>
      </c>
      <c r="D15" s="7">
        <v>0</v>
      </c>
      <c r="E15" s="21">
        <v>744</v>
      </c>
      <c r="F15" s="6" t="s">
        <v>24</v>
      </c>
      <c r="G15" s="23">
        <v>0</v>
      </c>
      <c r="H15" s="8">
        <f t="shared" si="4"/>
        <v>1000</v>
      </c>
      <c r="I15" s="9"/>
      <c r="J15" s="16">
        <v>20284</v>
      </c>
      <c r="K15" s="9">
        <v>0</v>
      </c>
      <c r="L15" s="26">
        <v>304.3</v>
      </c>
      <c r="M15" s="27">
        <f t="shared" si="2"/>
        <v>20588.3</v>
      </c>
      <c r="N15" s="26"/>
      <c r="O15" s="27">
        <v>13886.6</v>
      </c>
      <c r="P15" s="100"/>
      <c r="Q15" s="168">
        <v>743</v>
      </c>
      <c r="R15" s="153" t="s">
        <v>24</v>
      </c>
      <c r="S15" s="153">
        <v>0</v>
      </c>
      <c r="T15" s="170">
        <v>744</v>
      </c>
      <c r="U15" s="153" t="s">
        <v>24</v>
      </c>
      <c r="V15" s="153">
        <v>0</v>
      </c>
      <c r="W15" s="161">
        <f t="shared" si="3"/>
        <v>13886.6</v>
      </c>
    </row>
    <row r="16" spans="1:23" ht="15.75" customHeight="1" x14ac:dyDescent="0.25">
      <c r="A16" s="4" t="s">
        <v>23</v>
      </c>
      <c r="B16" s="21">
        <v>744</v>
      </c>
      <c r="C16" s="6" t="s">
        <v>24</v>
      </c>
      <c r="D16" s="7">
        <v>0</v>
      </c>
      <c r="E16" s="21">
        <v>745</v>
      </c>
      <c r="F16" s="6" t="s">
        <v>24</v>
      </c>
      <c r="G16" s="23">
        <v>0</v>
      </c>
      <c r="H16" s="8">
        <f t="shared" ref="H16" si="5">(E16*1000+G16)-(B16*1000+D16)</f>
        <v>1000</v>
      </c>
      <c r="I16" s="9"/>
      <c r="J16" s="16">
        <v>4959.3</v>
      </c>
      <c r="K16" s="9">
        <v>0</v>
      </c>
      <c r="L16" s="26">
        <v>5272.3</v>
      </c>
      <c r="M16" s="27">
        <f t="shared" si="2"/>
        <v>10231.6</v>
      </c>
      <c r="N16" s="26"/>
      <c r="O16" s="27">
        <v>12230.7</v>
      </c>
      <c r="P16" s="100"/>
      <c r="Q16" s="168">
        <v>744</v>
      </c>
      <c r="R16" s="153" t="s">
        <v>24</v>
      </c>
      <c r="S16" s="153">
        <v>0</v>
      </c>
      <c r="T16" s="170">
        <v>745</v>
      </c>
      <c r="U16" s="153" t="s">
        <v>24</v>
      </c>
      <c r="V16" s="153">
        <v>0</v>
      </c>
      <c r="W16" s="161">
        <f t="shared" si="3"/>
        <v>12230.7</v>
      </c>
    </row>
    <row r="17" spans="1:25" ht="15.75" thickBot="1" x14ac:dyDescent="0.3">
      <c r="A17" s="4" t="s">
        <v>23</v>
      </c>
      <c r="B17" s="21">
        <v>745</v>
      </c>
      <c r="C17" s="6" t="s">
        <v>24</v>
      </c>
      <c r="D17" s="7">
        <v>515</v>
      </c>
      <c r="E17" s="21">
        <v>746</v>
      </c>
      <c r="F17" s="6" t="s">
        <v>24</v>
      </c>
      <c r="G17" s="23">
        <v>0</v>
      </c>
      <c r="H17" s="8">
        <f t="shared" si="4"/>
        <v>485</v>
      </c>
      <c r="I17" s="9"/>
      <c r="J17" s="16">
        <v>7203.3</v>
      </c>
      <c r="K17" s="9">
        <v>0</v>
      </c>
      <c r="L17" s="26">
        <v>1133.9000000000001</v>
      </c>
      <c r="M17" s="27">
        <f t="shared" si="2"/>
        <v>8337.2000000000007</v>
      </c>
      <c r="N17" s="26"/>
      <c r="O17" s="27">
        <v>8337.2000000000007</v>
      </c>
      <c r="P17" s="100"/>
      <c r="Q17" s="168">
        <v>745</v>
      </c>
      <c r="R17" s="153" t="s">
        <v>24</v>
      </c>
      <c r="S17" s="153">
        <v>515</v>
      </c>
      <c r="T17" s="170">
        <v>746</v>
      </c>
      <c r="U17" s="153" t="s">
        <v>24</v>
      </c>
      <c r="V17" s="153">
        <v>0</v>
      </c>
      <c r="W17" s="161">
        <f t="shared" si="3"/>
        <v>8337.2000000000007</v>
      </c>
    </row>
    <row r="18" spans="1:25" ht="15.75" thickBot="1" x14ac:dyDescent="0.3">
      <c r="A18" s="11" t="str">
        <f>"TOTAL - "&amp;A6</f>
        <v>TOTAL - RODOVIA</v>
      </c>
      <c r="B18" s="12"/>
      <c r="C18" s="12"/>
      <c r="D18" s="12"/>
      <c r="E18" s="12"/>
      <c r="F18" s="12"/>
      <c r="G18" s="12"/>
      <c r="H18" s="12"/>
      <c r="I18" s="13">
        <f>SUM(I7:I17)</f>
        <v>0</v>
      </c>
      <c r="J18" s="13">
        <f>SUM(J7:J17)</f>
        <v>141112.49999999997</v>
      </c>
      <c r="K18" s="13">
        <f>SUM(K7:K17)</f>
        <v>0</v>
      </c>
      <c r="L18" s="13">
        <f>SUM(L7:L17)</f>
        <v>37346.400000000001</v>
      </c>
      <c r="M18" s="13">
        <f>SUM(M8:M17)</f>
        <v>137431.1</v>
      </c>
      <c r="N18" s="13"/>
      <c r="O18" s="13">
        <f>SUM(O8:O17)</f>
        <v>50464.100000000006</v>
      </c>
      <c r="P18" s="152"/>
      <c r="Q18" s="156"/>
      <c r="R18" s="157"/>
      <c r="S18" s="157"/>
      <c r="T18" s="157"/>
      <c r="U18" s="157"/>
      <c r="V18" s="158"/>
      <c r="W18" s="159">
        <f>SUM(W8:W17)</f>
        <v>55262</v>
      </c>
      <c r="Y18" s="39"/>
    </row>
    <row r="19" spans="1:25" ht="15.75" thickBot="1" x14ac:dyDescent="0.3">
      <c r="A19" s="220" t="s">
        <v>38</v>
      </c>
      <c r="B19" s="221"/>
      <c r="C19" s="221"/>
      <c r="D19" s="221"/>
      <c r="E19" s="221"/>
      <c r="F19" s="221"/>
      <c r="G19" s="221"/>
      <c r="H19" s="221"/>
      <c r="I19" s="221"/>
      <c r="J19" s="221"/>
      <c r="K19" s="221"/>
      <c r="L19" s="221"/>
      <c r="M19" s="222"/>
    </row>
    <row r="20" spans="1:25" x14ac:dyDescent="0.25">
      <c r="A20" s="30" t="s">
        <v>39</v>
      </c>
      <c r="B20" s="15">
        <v>0</v>
      </c>
      <c r="C20" s="15" t="s">
        <v>24</v>
      </c>
      <c r="D20" s="28">
        <v>0</v>
      </c>
      <c r="E20" s="15">
        <v>0</v>
      </c>
      <c r="F20" s="15" t="s">
        <v>24</v>
      </c>
      <c r="G20" s="28">
        <v>41.869</v>
      </c>
      <c r="H20" s="29">
        <v>41.869</v>
      </c>
      <c r="I20" s="29"/>
      <c r="J20" s="29">
        <v>0</v>
      </c>
      <c r="K20" s="29"/>
      <c r="L20" s="29">
        <v>185.63510500000001</v>
      </c>
      <c r="M20" s="27">
        <f>(J20+K20+L20)</f>
        <v>185.63510500000001</v>
      </c>
    </row>
    <row r="21" spans="1:25" x14ac:dyDescent="0.25">
      <c r="A21" s="30" t="s">
        <v>40</v>
      </c>
      <c r="B21" s="15">
        <v>0</v>
      </c>
      <c r="C21" s="15" t="s">
        <v>24</v>
      </c>
      <c r="D21" s="28">
        <v>0</v>
      </c>
      <c r="E21" s="15">
        <v>0</v>
      </c>
      <c r="F21" s="15" t="s">
        <v>24</v>
      </c>
      <c r="G21" s="28">
        <v>42.957999999999998</v>
      </c>
      <c r="H21" s="29">
        <v>42.957999999999998</v>
      </c>
      <c r="I21" s="29"/>
      <c r="J21" s="29">
        <v>17.044429999999998</v>
      </c>
      <c r="K21" s="29"/>
      <c r="L21" s="29">
        <v>191.43623999999997</v>
      </c>
      <c r="M21" s="27">
        <f t="shared" ref="M21:M23" si="6">(J21+K21+L21)</f>
        <v>208.48066999999998</v>
      </c>
    </row>
    <row r="22" spans="1:25" x14ac:dyDescent="0.25">
      <c r="A22" s="30" t="s">
        <v>41</v>
      </c>
      <c r="B22" s="15">
        <v>0</v>
      </c>
      <c r="C22" s="15" t="s">
        <v>24</v>
      </c>
      <c r="D22" s="28">
        <v>0</v>
      </c>
      <c r="E22" s="15">
        <v>0</v>
      </c>
      <c r="F22" s="15" t="s">
        <v>24</v>
      </c>
      <c r="G22" s="28">
        <v>50.408999999999999</v>
      </c>
      <c r="H22" s="29">
        <v>50.408999999999999</v>
      </c>
      <c r="I22" s="29"/>
      <c r="J22" s="29">
        <v>366.92170500000003</v>
      </c>
      <c r="K22" s="29"/>
      <c r="L22" s="29">
        <v>51.526999999999994</v>
      </c>
      <c r="M22" s="27">
        <f t="shared" si="6"/>
        <v>418.44870500000002</v>
      </c>
    </row>
    <row r="23" spans="1:25" x14ac:dyDescent="0.25">
      <c r="A23" s="30" t="s">
        <v>42</v>
      </c>
      <c r="B23" s="15">
        <v>0</v>
      </c>
      <c r="C23" s="15" t="s">
        <v>24</v>
      </c>
      <c r="D23" s="28">
        <v>0</v>
      </c>
      <c r="E23" s="15">
        <v>0</v>
      </c>
      <c r="F23" s="15" t="s">
        <v>24</v>
      </c>
      <c r="G23" s="28">
        <v>49.918999999999997</v>
      </c>
      <c r="H23" s="29">
        <v>49.918999999999997</v>
      </c>
      <c r="I23" s="29"/>
      <c r="J23" s="29">
        <v>466.38241999999997</v>
      </c>
      <c r="K23" s="29"/>
      <c r="L23" s="29">
        <v>51.05</v>
      </c>
      <c r="M23" s="197">
        <f t="shared" si="6"/>
        <v>517.43241999999998</v>
      </c>
    </row>
    <row r="24" spans="1:25" ht="15.75" thickBot="1" x14ac:dyDescent="0.3">
      <c r="A24" s="198" t="str">
        <f>"TOTAL- ACESSOS"</f>
        <v>TOTAL- ACESSOS</v>
      </c>
      <c r="B24" s="199"/>
      <c r="C24" s="199"/>
      <c r="D24" s="199"/>
      <c r="E24" s="199"/>
      <c r="F24" s="199"/>
      <c r="G24" s="199"/>
      <c r="H24" s="200"/>
      <c r="I24" s="201">
        <f t="shared" ref="I24:L24" si="7">SUM(I20:I23)</f>
        <v>0</v>
      </c>
      <c r="J24" s="201">
        <f t="shared" si="7"/>
        <v>850.34855500000003</v>
      </c>
      <c r="K24" s="201">
        <f t="shared" si="7"/>
        <v>0</v>
      </c>
      <c r="L24" s="201">
        <f t="shared" si="7"/>
        <v>479.64834499999995</v>
      </c>
      <c r="M24" s="201">
        <f>SUM(M20:M23)</f>
        <v>1329.9969000000001</v>
      </c>
      <c r="O24" s="39">
        <f>M24</f>
        <v>1329.9969000000001</v>
      </c>
    </row>
    <row r="25" spans="1:25" ht="15.75" thickBot="1" x14ac:dyDescent="0.3">
      <c r="A25" s="11" t="s">
        <v>43</v>
      </c>
      <c r="B25" s="12"/>
      <c r="C25" s="12"/>
      <c r="D25" s="12"/>
      <c r="E25" s="12"/>
      <c r="F25" s="12"/>
      <c r="G25" s="12"/>
      <c r="H25" s="13"/>
      <c r="I25" s="14">
        <f t="shared" ref="I25:L25" si="8">I18+I24</f>
        <v>0</v>
      </c>
      <c r="J25" s="14">
        <f t="shared" si="8"/>
        <v>141962.84855499998</v>
      </c>
      <c r="K25" s="14">
        <f t="shared" si="8"/>
        <v>0</v>
      </c>
      <c r="L25" s="14">
        <f t="shared" si="8"/>
        <v>37826.048345000003</v>
      </c>
      <c r="M25" s="14">
        <f>M18+M24</f>
        <v>138761.0969</v>
      </c>
      <c r="O25" s="39">
        <f>O18+O24</f>
        <v>51794.096900000004</v>
      </c>
    </row>
    <row r="29" spans="1:25" x14ac:dyDescent="0.25">
      <c r="B29" s="21"/>
      <c r="C29" s="22"/>
      <c r="D29" s="23"/>
      <c r="E29" s="21"/>
      <c r="F29" s="22"/>
      <c r="G29" s="23"/>
      <c r="H29" s="100"/>
      <c r="K29" s="94"/>
    </row>
    <row r="30" spans="1:25" x14ac:dyDescent="0.25">
      <c r="B30" s="21"/>
      <c r="C30" s="6"/>
      <c r="D30" s="7"/>
      <c r="E30" s="21"/>
      <c r="F30" s="6"/>
      <c r="G30" s="23"/>
      <c r="H30" s="15"/>
      <c r="I30" s="15"/>
      <c r="J30" s="15"/>
      <c r="K30" s="94"/>
    </row>
    <row r="31" spans="1:25" x14ac:dyDescent="0.25">
      <c r="B31" s="21"/>
      <c r="C31" s="6"/>
      <c r="D31" s="7"/>
      <c r="E31" s="21"/>
      <c r="F31" s="6"/>
      <c r="G31" s="23"/>
      <c r="H31" s="15"/>
      <c r="K31" s="94"/>
    </row>
    <row r="32" spans="1:25" x14ac:dyDescent="0.25">
      <c r="B32" s="21"/>
      <c r="C32" s="6"/>
      <c r="D32" s="7"/>
      <c r="E32" s="21"/>
      <c r="F32" s="6"/>
      <c r="G32" s="23"/>
      <c r="H32" s="15"/>
      <c r="I32" s="15"/>
      <c r="K32" s="94"/>
    </row>
    <row r="33" spans="2:11" x14ac:dyDescent="0.25">
      <c r="B33" s="21"/>
      <c r="C33" s="6"/>
      <c r="D33" s="7"/>
      <c r="E33" s="21"/>
      <c r="F33" s="6"/>
      <c r="G33" s="23"/>
      <c r="H33" s="15"/>
      <c r="I33" s="15"/>
      <c r="J33" s="15"/>
      <c r="K33" s="94"/>
    </row>
    <row r="34" spans="2:11" x14ac:dyDescent="0.25">
      <c r="B34" s="21"/>
      <c r="C34" s="6"/>
      <c r="D34" s="7"/>
      <c r="E34" s="21"/>
      <c r="F34" s="6"/>
      <c r="G34" s="23"/>
      <c r="H34" s="15"/>
      <c r="I34" s="15"/>
      <c r="J34" s="15"/>
      <c r="K34" s="94"/>
    </row>
    <row r="35" spans="2:11" x14ac:dyDescent="0.25">
      <c r="B35" s="21"/>
      <c r="C35" s="6"/>
      <c r="D35" s="7"/>
      <c r="E35" s="21"/>
      <c r="F35" s="6"/>
      <c r="G35" s="23"/>
      <c r="H35" s="15"/>
      <c r="K35" s="94"/>
    </row>
    <row r="36" spans="2:11" x14ac:dyDescent="0.25">
      <c r="B36" s="21"/>
      <c r="C36" s="6"/>
      <c r="D36" s="7"/>
      <c r="E36" s="21"/>
      <c r="F36" s="6"/>
      <c r="G36" s="23"/>
      <c r="H36" s="15"/>
      <c r="I36" s="15"/>
      <c r="K36" s="94"/>
    </row>
    <row r="37" spans="2:11" x14ac:dyDescent="0.25">
      <c r="B37" s="21"/>
      <c r="C37" s="6"/>
      <c r="D37" s="7"/>
      <c r="E37" s="21"/>
      <c r="F37" s="6"/>
      <c r="G37" s="23"/>
      <c r="H37" s="15"/>
      <c r="K37" s="94"/>
    </row>
    <row r="38" spans="2:11" x14ac:dyDescent="0.25">
      <c r="B38" s="21"/>
      <c r="C38" s="6"/>
      <c r="D38" s="23"/>
      <c r="E38" s="101"/>
      <c r="F38" s="6"/>
      <c r="G38" s="23"/>
      <c r="H38" s="15"/>
      <c r="K38" s="94"/>
    </row>
    <row r="39" spans="2:11" x14ac:dyDescent="0.25">
      <c r="K39" s="94"/>
    </row>
    <row r="43" spans="2:11" x14ac:dyDescent="0.25">
      <c r="I43">
        <v>7598.6</v>
      </c>
    </row>
    <row r="44" spans="2:11" x14ac:dyDescent="0.25">
      <c r="I44">
        <v>24589.599999999999</v>
      </c>
    </row>
    <row r="45" spans="2:11" x14ac:dyDescent="0.25">
      <c r="I45">
        <f>I44+I43</f>
        <v>32188.199999999997</v>
      </c>
    </row>
  </sheetData>
  <mergeCells count="14">
    <mergeCell ref="A1:M1"/>
    <mergeCell ref="B2:M2"/>
    <mergeCell ref="A3:A5"/>
    <mergeCell ref="B3:G4"/>
    <mergeCell ref="H3:H5"/>
    <mergeCell ref="I3:M3"/>
    <mergeCell ref="J4:M4"/>
    <mergeCell ref="B5:D5"/>
    <mergeCell ref="E5:G5"/>
    <mergeCell ref="Q5:W5"/>
    <mergeCell ref="N3:O3"/>
    <mergeCell ref="N6:O6"/>
    <mergeCell ref="A6:M6"/>
    <mergeCell ref="A19:M19"/>
  </mergeCells>
  <pageMargins left="0.511811024" right="0.511811024" top="0.78740157499999996" bottom="0.78740157499999996" header="0.31496062000000002" footer="0.31496062000000002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28388-8118-497B-96EF-12432FD83025}">
  <sheetPr>
    <pageSetUpPr fitToPage="1"/>
  </sheetPr>
  <dimension ref="A1:P42"/>
  <sheetViews>
    <sheetView workbookViewId="0">
      <selection activeCell="A23" sqref="A23:XFD23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1406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2" width="17.7109375" customWidth="1"/>
    <col min="13" max="13" width="18.7109375" customWidth="1"/>
    <col min="14" max="14" width="17.7109375" customWidth="1"/>
    <col min="15" max="15" width="13.7109375" customWidth="1"/>
    <col min="16" max="16" width="15.28515625" customWidth="1"/>
  </cols>
  <sheetData>
    <row r="1" spans="1:16" ht="16.5" x14ac:dyDescent="0.25">
      <c r="A1" s="263" t="s">
        <v>0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5"/>
    </row>
    <row r="2" spans="1:16" x14ac:dyDescent="0.25">
      <c r="A2" s="1" t="s">
        <v>44</v>
      </c>
      <c r="B2" s="266" t="s">
        <v>2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8"/>
      <c r="O2" s="102" t="s">
        <v>3</v>
      </c>
      <c r="P2" s="103">
        <f>'SEGMENTO-01'!S2</f>
        <v>46241</v>
      </c>
    </row>
    <row r="3" spans="1:16" x14ac:dyDescent="0.25">
      <c r="A3" s="229" t="s">
        <v>4</v>
      </c>
      <c r="B3" s="230" t="s">
        <v>5</v>
      </c>
      <c r="C3" s="231"/>
      <c r="D3" s="231"/>
      <c r="E3" s="231"/>
      <c r="F3" s="231"/>
      <c r="G3" s="232"/>
      <c r="H3" s="236" t="s">
        <v>6</v>
      </c>
      <c r="I3" s="241" t="s">
        <v>7</v>
      </c>
      <c r="J3" s="243"/>
      <c r="K3" s="243"/>
      <c r="L3" s="243"/>
      <c r="M3" s="243"/>
      <c r="N3" s="244"/>
      <c r="O3" s="250" t="s">
        <v>8</v>
      </c>
      <c r="P3" s="251"/>
    </row>
    <row r="4" spans="1:16" ht="15" customHeight="1" thickBot="1" x14ac:dyDescent="0.3">
      <c r="A4" s="229"/>
      <c r="B4" s="233"/>
      <c r="C4" s="234"/>
      <c r="D4" s="234"/>
      <c r="E4" s="234"/>
      <c r="F4" s="234"/>
      <c r="G4" s="235"/>
      <c r="H4" s="236"/>
      <c r="I4" s="241" t="s">
        <v>9</v>
      </c>
      <c r="J4" s="242"/>
      <c r="K4" s="241" t="s">
        <v>35</v>
      </c>
      <c r="L4" s="243"/>
      <c r="M4" s="243"/>
      <c r="N4" s="244"/>
      <c r="O4" s="2" t="s">
        <v>11</v>
      </c>
      <c r="P4" s="41"/>
    </row>
    <row r="5" spans="1:16" ht="43.5" thickBot="1" x14ac:dyDescent="0.3">
      <c r="A5" s="254"/>
      <c r="B5" s="256" t="s">
        <v>13</v>
      </c>
      <c r="C5" s="256"/>
      <c r="D5" s="256"/>
      <c r="E5" s="256" t="s">
        <v>14</v>
      </c>
      <c r="F5" s="256"/>
      <c r="G5" s="256"/>
      <c r="H5" s="255"/>
      <c r="I5" s="2" t="s">
        <v>15</v>
      </c>
      <c r="J5" s="2" t="s">
        <v>16</v>
      </c>
      <c r="K5" s="2" t="s">
        <v>17</v>
      </c>
      <c r="L5" s="2" t="s">
        <v>36</v>
      </c>
      <c r="M5" s="2" t="s">
        <v>18</v>
      </c>
      <c r="N5" s="3" t="s">
        <v>45</v>
      </c>
      <c r="O5" s="2" t="s">
        <v>20</v>
      </c>
      <c r="P5" s="3" t="s">
        <v>12</v>
      </c>
    </row>
    <row r="6" spans="1:16" x14ac:dyDescent="0.25">
      <c r="A6" s="269" t="s">
        <v>46</v>
      </c>
      <c r="B6" s="270"/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1"/>
      <c r="O6" s="104"/>
      <c r="P6" s="104"/>
    </row>
    <row r="7" spans="1:16" x14ac:dyDescent="0.25">
      <c r="A7" s="84" t="s">
        <v>47</v>
      </c>
      <c r="B7" s="85">
        <v>100</v>
      </c>
      <c r="C7" s="86" t="s">
        <v>24</v>
      </c>
      <c r="D7" s="87">
        <v>0</v>
      </c>
      <c r="E7" s="85">
        <v>100</v>
      </c>
      <c r="F7" s="86" t="s">
        <v>24</v>
      </c>
      <c r="G7" s="87">
        <v>365.89699999999721</v>
      </c>
      <c r="H7" s="88">
        <f t="shared" ref="H7:H23" si="0">(E7*1000+G7)-(B7*1000+D7)</f>
        <v>365.89699999999721</v>
      </c>
      <c r="I7" s="89">
        <v>0</v>
      </c>
      <c r="J7" s="89">
        <v>0</v>
      </c>
      <c r="K7" s="90">
        <v>38378.996779999856</v>
      </c>
      <c r="L7" s="89">
        <v>2029.2252799999837</v>
      </c>
      <c r="M7" s="89">
        <v>137.35000000000002</v>
      </c>
      <c r="N7" s="91">
        <f>(K7+L7+M7)</f>
        <v>40545.572059999839</v>
      </c>
      <c r="O7" s="89"/>
      <c r="P7" s="105">
        <v>32996.1</v>
      </c>
    </row>
    <row r="8" spans="1:16" x14ac:dyDescent="0.25">
      <c r="A8" s="84">
        <v>354.1</v>
      </c>
      <c r="B8" s="85">
        <v>200</v>
      </c>
      <c r="C8" s="86" t="s">
        <v>24</v>
      </c>
      <c r="D8" s="87">
        <v>0</v>
      </c>
      <c r="E8" s="85">
        <v>200</v>
      </c>
      <c r="F8" s="86" t="s">
        <v>24</v>
      </c>
      <c r="G8" s="87">
        <v>234.64499999998952</v>
      </c>
      <c r="H8" s="88">
        <f t="shared" si="0"/>
        <v>234.64499999998952</v>
      </c>
      <c r="I8" s="89">
        <v>0</v>
      </c>
      <c r="J8" s="89">
        <v>0</v>
      </c>
      <c r="K8" s="90">
        <v>1181.7283349998897</v>
      </c>
      <c r="L8" s="89">
        <v>306.22653999996658</v>
      </c>
      <c r="M8" s="89">
        <v>411.63669999999996</v>
      </c>
      <c r="N8" s="91">
        <f t="shared" ref="N8:N23" si="1">(K8+L8+M8)</f>
        <v>1899.5915749998562</v>
      </c>
      <c r="O8" s="89"/>
      <c r="P8" s="105">
        <v>354.1</v>
      </c>
    </row>
    <row r="9" spans="1:16" x14ac:dyDescent="0.25">
      <c r="A9" s="84" t="s">
        <v>48</v>
      </c>
      <c r="B9" s="85">
        <v>300</v>
      </c>
      <c r="C9" s="86" t="s">
        <v>24</v>
      </c>
      <c r="D9" s="87">
        <v>0</v>
      </c>
      <c r="E9" s="85">
        <v>300</v>
      </c>
      <c r="F9" s="86" t="s">
        <v>24</v>
      </c>
      <c r="G9" s="87">
        <v>82.815999999991618</v>
      </c>
      <c r="H9" s="88">
        <f t="shared" si="0"/>
        <v>82.815999999991618</v>
      </c>
      <c r="I9" s="89">
        <v>0</v>
      </c>
      <c r="J9" s="89">
        <v>0</v>
      </c>
      <c r="K9" s="90">
        <v>7.0054450000054205</v>
      </c>
      <c r="L9" s="89">
        <v>0</v>
      </c>
      <c r="M9" s="89">
        <v>321.4776900000108</v>
      </c>
      <c r="N9" s="91">
        <f t="shared" si="1"/>
        <v>328.4831350000162</v>
      </c>
      <c r="O9" s="89"/>
      <c r="P9" s="105">
        <v>13.1</v>
      </c>
    </row>
    <row r="10" spans="1:16" x14ac:dyDescent="0.25">
      <c r="A10" s="84" t="s">
        <v>49</v>
      </c>
      <c r="B10" s="85">
        <v>0</v>
      </c>
      <c r="C10" s="86" t="s">
        <v>24</v>
      </c>
      <c r="D10" s="87">
        <v>0</v>
      </c>
      <c r="E10" s="85">
        <v>0</v>
      </c>
      <c r="F10" s="86" t="s">
        <v>24</v>
      </c>
      <c r="G10" s="87">
        <v>44.966000000000001</v>
      </c>
      <c r="H10" s="88">
        <f t="shared" si="0"/>
        <v>44.966000000000001</v>
      </c>
      <c r="I10" s="89">
        <v>0</v>
      </c>
      <c r="J10" s="89">
        <v>0</v>
      </c>
      <c r="K10" s="90">
        <v>407.42303000000004</v>
      </c>
      <c r="L10" s="89">
        <v>154.72772500000002</v>
      </c>
      <c r="M10" s="89">
        <v>0</v>
      </c>
      <c r="N10" s="91">
        <f>(K10+L10+M10)</f>
        <v>562.15075500000012</v>
      </c>
      <c r="O10" s="89"/>
      <c r="P10" s="105">
        <v>216.4</v>
      </c>
    </row>
    <row r="11" spans="1:16" x14ac:dyDescent="0.25">
      <c r="A11" s="84" t="s">
        <v>50</v>
      </c>
      <c r="B11" s="85">
        <v>0</v>
      </c>
      <c r="C11" s="86" t="s">
        <v>24</v>
      </c>
      <c r="D11" s="87">
        <v>0</v>
      </c>
      <c r="E11" s="85">
        <v>0</v>
      </c>
      <c r="F11" s="86" t="s">
        <v>24</v>
      </c>
      <c r="G11" s="87">
        <v>52.633000000000003</v>
      </c>
      <c r="H11" s="88">
        <f t="shared" si="0"/>
        <v>52.633000000000003</v>
      </c>
      <c r="I11" s="89">
        <v>0</v>
      </c>
      <c r="J11" s="89">
        <v>0</v>
      </c>
      <c r="K11" s="90">
        <v>274.23910999999993</v>
      </c>
      <c r="L11" s="89">
        <v>145.71521000000004</v>
      </c>
      <c r="M11" s="89">
        <v>26.650055000000002</v>
      </c>
      <c r="N11" s="91">
        <f t="shared" si="1"/>
        <v>446.60437499999995</v>
      </c>
      <c r="O11" s="89"/>
      <c r="P11" s="105">
        <v>182.9</v>
      </c>
    </row>
    <row r="12" spans="1:16" x14ac:dyDescent="0.25">
      <c r="A12" s="84" t="s">
        <v>51</v>
      </c>
      <c r="B12" s="85">
        <v>0</v>
      </c>
      <c r="C12" s="86" t="s">
        <v>24</v>
      </c>
      <c r="D12" s="87">
        <v>0</v>
      </c>
      <c r="E12" s="85">
        <v>0</v>
      </c>
      <c r="F12" s="86" t="s">
        <v>24</v>
      </c>
      <c r="G12" s="87">
        <v>57.101999999999997</v>
      </c>
      <c r="H12" s="88">
        <f t="shared" si="0"/>
        <v>57.101999999999997</v>
      </c>
      <c r="I12" s="89">
        <v>0</v>
      </c>
      <c r="J12" s="89">
        <v>0</v>
      </c>
      <c r="K12" s="90">
        <v>457.23713500000008</v>
      </c>
      <c r="L12" s="89">
        <v>151.11227999999997</v>
      </c>
      <c r="M12" s="89">
        <v>6.3</v>
      </c>
      <c r="N12" s="91">
        <f t="shared" si="1"/>
        <v>614.64941499999998</v>
      </c>
      <c r="O12" s="89"/>
      <c r="P12" s="105">
        <v>175.2</v>
      </c>
    </row>
    <row r="13" spans="1:16" x14ac:dyDescent="0.25">
      <c r="A13" s="74" t="s">
        <v>52</v>
      </c>
      <c r="B13" s="75">
        <v>0</v>
      </c>
      <c r="C13" s="76" t="s">
        <v>24</v>
      </c>
      <c r="D13" s="77">
        <v>0</v>
      </c>
      <c r="E13" s="75">
        <v>0</v>
      </c>
      <c r="F13" s="76" t="s">
        <v>24</v>
      </c>
      <c r="G13" s="77">
        <v>37.15</v>
      </c>
      <c r="H13" s="78">
        <f t="shared" si="0"/>
        <v>37.15</v>
      </c>
      <c r="I13" s="79">
        <v>0</v>
      </c>
      <c r="J13" s="79">
        <v>0</v>
      </c>
      <c r="K13" s="80">
        <v>17.79</v>
      </c>
      <c r="L13" s="79">
        <v>0</v>
      </c>
      <c r="M13" s="79">
        <v>154.48825000000002</v>
      </c>
      <c r="N13" s="92">
        <f t="shared" si="1"/>
        <v>172.27825000000001</v>
      </c>
      <c r="O13" s="79"/>
      <c r="P13" s="105">
        <v>12.9</v>
      </c>
    </row>
    <row r="14" spans="1:16" x14ac:dyDescent="0.25">
      <c r="A14" s="74" t="s">
        <v>53</v>
      </c>
      <c r="B14" s="75">
        <v>0</v>
      </c>
      <c r="C14" s="76" t="s">
        <v>24</v>
      </c>
      <c r="D14" s="77">
        <v>0</v>
      </c>
      <c r="E14" s="75">
        <v>0</v>
      </c>
      <c r="F14" s="76" t="s">
        <v>24</v>
      </c>
      <c r="G14" s="77">
        <v>28.672999999999998</v>
      </c>
      <c r="H14" s="78">
        <f t="shared" si="0"/>
        <v>28.672999999999998</v>
      </c>
      <c r="I14" s="79">
        <v>0</v>
      </c>
      <c r="J14" s="79">
        <v>0</v>
      </c>
      <c r="K14" s="80">
        <v>3.0023449999999996</v>
      </c>
      <c r="L14" s="79">
        <v>0</v>
      </c>
      <c r="M14" s="79">
        <v>99.149179999999973</v>
      </c>
      <c r="N14" s="92">
        <f t="shared" si="1"/>
        <v>102.15152499999998</v>
      </c>
      <c r="O14" s="79"/>
      <c r="P14" s="105">
        <v>49.1</v>
      </c>
    </row>
    <row r="15" spans="1:16" x14ac:dyDescent="0.25">
      <c r="A15" s="74" t="s">
        <v>54</v>
      </c>
      <c r="B15" s="75">
        <v>0</v>
      </c>
      <c r="C15" s="76" t="s">
        <v>24</v>
      </c>
      <c r="D15" s="77">
        <v>0</v>
      </c>
      <c r="E15" s="75">
        <v>0</v>
      </c>
      <c r="F15" s="76" t="s">
        <v>24</v>
      </c>
      <c r="G15" s="77">
        <v>39.543999999999997</v>
      </c>
      <c r="H15" s="78">
        <f t="shared" si="0"/>
        <v>39.543999999999997</v>
      </c>
      <c r="I15" s="79">
        <v>0</v>
      </c>
      <c r="J15" s="79">
        <v>0</v>
      </c>
      <c r="K15" s="80">
        <v>1.8315199999999994</v>
      </c>
      <c r="L15" s="79">
        <v>0</v>
      </c>
      <c r="M15" s="79">
        <v>231.17688000000001</v>
      </c>
      <c r="N15" s="92">
        <f t="shared" si="1"/>
        <v>233.00840000000002</v>
      </c>
      <c r="O15" s="79"/>
      <c r="P15" s="105">
        <v>83.1</v>
      </c>
    </row>
    <row r="16" spans="1:16" x14ac:dyDescent="0.25">
      <c r="A16" s="74" t="s">
        <v>55</v>
      </c>
      <c r="B16" s="75">
        <v>0</v>
      </c>
      <c r="C16" s="76" t="s">
        <v>24</v>
      </c>
      <c r="D16" s="77">
        <v>0</v>
      </c>
      <c r="E16" s="75">
        <v>0</v>
      </c>
      <c r="F16" s="76" t="s">
        <v>24</v>
      </c>
      <c r="G16" s="77">
        <v>94.248000000000005</v>
      </c>
      <c r="H16" s="78">
        <f t="shared" si="0"/>
        <v>94.248000000000005</v>
      </c>
      <c r="I16" s="79">
        <v>0</v>
      </c>
      <c r="J16" s="79">
        <v>0</v>
      </c>
      <c r="K16" s="80">
        <v>1610.5877000000003</v>
      </c>
      <c r="L16" s="79">
        <v>598.40660000000003</v>
      </c>
      <c r="M16" s="79">
        <v>2.3499999999999996</v>
      </c>
      <c r="N16" s="92">
        <f t="shared" si="1"/>
        <v>2211.3443000000002</v>
      </c>
      <c r="O16" s="79"/>
      <c r="P16" s="105">
        <v>868.2</v>
      </c>
    </row>
    <row r="17" spans="1:16" x14ac:dyDescent="0.25">
      <c r="A17" s="74" t="s">
        <v>56</v>
      </c>
      <c r="B17" s="75">
        <v>0</v>
      </c>
      <c r="C17" s="76" t="s">
        <v>24</v>
      </c>
      <c r="D17" s="77">
        <v>0</v>
      </c>
      <c r="E17" s="75">
        <v>0</v>
      </c>
      <c r="F17" s="76" t="s">
        <v>24</v>
      </c>
      <c r="G17" s="77">
        <v>94.247</v>
      </c>
      <c r="H17" s="78">
        <f t="shared" si="0"/>
        <v>94.247</v>
      </c>
      <c r="I17" s="79">
        <v>0</v>
      </c>
      <c r="J17" s="79">
        <v>0</v>
      </c>
      <c r="K17" s="80">
        <v>55.575970000000005</v>
      </c>
      <c r="L17" s="79">
        <v>2.1500000000000004</v>
      </c>
      <c r="M17" s="79">
        <v>588.4319999999999</v>
      </c>
      <c r="N17" s="92">
        <f t="shared" si="1"/>
        <v>646.15796999999986</v>
      </c>
      <c r="O17" s="79"/>
      <c r="P17" s="105">
        <v>117.9</v>
      </c>
    </row>
    <row r="18" spans="1:16" x14ac:dyDescent="0.25">
      <c r="A18" s="74" t="s">
        <v>57</v>
      </c>
      <c r="B18" s="75">
        <v>100</v>
      </c>
      <c r="C18" s="76" t="s">
        <v>24</v>
      </c>
      <c r="D18" s="77">
        <v>65</v>
      </c>
      <c r="E18" s="75">
        <v>100</v>
      </c>
      <c r="F18" s="76" t="s">
        <v>24</v>
      </c>
      <c r="G18" s="77">
        <v>115</v>
      </c>
      <c r="H18" s="78">
        <f t="shared" ref="H18" si="2">(E18*1000+G18)-(B18*1000+D18)</f>
        <v>50</v>
      </c>
      <c r="I18" s="79"/>
      <c r="J18" s="79"/>
      <c r="K18" s="80">
        <v>1989</v>
      </c>
      <c r="L18" s="79"/>
      <c r="M18" s="79"/>
      <c r="N18" s="92">
        <f t="shared" si="1"/>
        <v>1989</v>
      </c>
      <c r="O18" s="79"/>
      <c r="P18" s="105">
        <v>0</v>
      </c>
    </row>
    <row r="19" spans="1:16" x14ac:dyDescent="0.25">
      <c r="A19" s="74" t="s">
        <v>58</v>
      </c>
      <c r="B19" s="75">
        <v>100</v>
      </c>
      <c r="C19" s="76" t="s">
        <v>24</v>
      </c>
      <c r="D19" s="77">
        <v>115</v>
      </c>
      <c r="E19" s="75">
        <v>100</v>
      </c>
      <c r="F19" s="76" t="s">
        <v>24</v>
      </c>
      <c r="G19" s="77">
        <v>140</v>
      </c>
      <c r="H19" s="78">
        <f t="shared" si="0"/>
        <v>25</v>
      </c>
      <c r="I19" s="79"/>
      <c r="J19" s="79"/>
      <c r="K19" s="80">
        <v>1719.75</v>
      </c>
      <c r="L19" s="79"/>
      <c r="M19" s="79"/>
      <c r="N19" s="92">
        <f t="shared" si="1"/>
        <v>1719.75</v>
      </c>
      <c r="O19" s="79"/>
      <c r="P19" s="105">
        <v>219.75</v>
      </c>
    </row>
    <row r="20" spans="1:16" x14ac:dyDescent="0.25">
      <c r="A20" s="74" t="s">
        <v>58</v>
      </c>
      <c r="B20" s="75">
        <v>100</v>
      </c>
      <c r="C20" s="76" t="s">
        <v>24</v>
      </c>
      <c r="D20" s="77">
        <v>140</v>
      </c>
      <c r="E20" s="75">
        <v>100</v>
      </c>
      <c r="F20" s="76" t="s">
        <v>24</v>
      </c>
      <c r="G20" s="77">
        <v>155</v>
      </c>
      <c r="H20" s="78">
        <f t="shared" si="0"/>
        <v>15</v>
      </c>
      <c r="I20" s="79"/>
      <c r="J20" s="79"/>
      <c r="K20" s="80">
        <v>1315.96</v>
      </c>
      <c r="L20" s="79"/>
      <c r="M20" s="79"/>
      <c r="N20" s="92">
        <f t="shared" si="1"/>
        <v>1315.96</v>
      </c>
      <c r="O20" s="79"/>
      <c r="P20" s="105">
        <v>1015.96</v>
      </c>
    </row>
    <row r="21" spans="1:16" x14ac:dyDescent="0.25">
      <c r="A21" s="74" t="s">
        <v>59</v>
      </c>
      <c r="B21" s="75">
        <v>100</v>
      </c>
      <c r="C21" s="76" t="s">
        <v>24</v>
      </c>
      <c r="D21" s="77">
        <v>207</v>
      </c>
      <c r="E21" s="75">
        <v>100</v>
      </c>
      <c r="F21" s="76" t="s">
        <v>24</v>
      </c>
      <c r="G21" s="77">
        <v>275</v>
      </c>
      <c r="H21" s="78">
        <f t="shared" si="0"/>
        <v>68</v>
      </c>
      <c r="I21" s="79"/>
      <c r="J21" s="79"/>
      <c r="K21" s="79">
        <v>8267</v>
      </c>
      <c r="L21" s="79"/>
      <c r="M21" s="79"/>
      <c r="N21" s="92">
        <f t="shared" si="1"/>
        <v>8267</v>
      </c>
      <c r="O21" s="79"/>
      <c r="P21" s="105">
        <v>8267</v>
      </c>
    </row>
    <row r="22" spans="1:16" x14ac:dyDescent="0.25">
      <c r="A22" s="74" t="s">
        <v>59</v>
      </c>
      <c r="B22" s="75">
        <v>100</v>
      </c>
      <c r="C22" s="76" t="s">
        <v>24</v>
      </c>
      <c r="D22" s="77">
        <v>275</v>
      </c>
      <c r="E22" s="75">
        <v>100</v>
      </c>
      <c r="F22" s="76" t="s">
        <v>24</v>
      </c>
      <c r="G22" s="77">
        <v>290</v>
      </c>
      <c r="H22" s="78">
        <f t="shared" si="0"/>
        <v>15</v>
      </c>
      <c r="I22" s="79"/>
      <c r="J22" s="79"/>
      <c r="K22" s="79">
        <v>1054.8</v>
      </c>
      <c r="L22" s="79"/>
      <c r="M22" s="79"/>
      <c r="N22" s="92">
        <f t="shared" si="1"/>
        <v>1054.8</v>
      </c>
      <c r="O22" s="79"/>
      <c r="P22" s="105">
        <v>0</v>
      </c>
    </row>
    <row r="23" spans="1:16" ht="15.75" thickBot="1" x14ac:dyDescent="0.3">
      <c r="A23" s="74" t="s">
        <v>59</v>
      </c>
      <c r="B23" s="75">
        <v>100</v>
      </c>
      <c r="C23" s="76" t="s">
        <v>24</v>
      </c>
      <c r="D23" s="77">
        <v>29</v>
      </c>
      <c r="E23" s="75">
        <v>100</v>
      </c>
      <c r="F23" s="76" t="s">
        <v>24</v>
      </c>
      <c r="G23" s="77">
        <v>330</v>
      </c>
      <c r="H23" s="78">
        <f t="shared" si="0"/>
        <v>301</v>
      </c>
      <c r="I23" s="79"/>
      <c r="J23" s="79"/>
      <c r="K23" s="79">
        <v>1466.6</v>
      </c>
      <c r="L23" s="79"/>
      <c r="M23" s="79"/>
      <c r="N23" s="92">
        <f t="shared" si="1"/>
        <v>1466.6</v>
      </c>
      <c r="O23" s="79"/>
      <c r="P23" s="105">
        <v>0</v>
      </c>
    </row>
    <row r="24" spans="1:16" ht="15.75" thickBot="1" x14ac:dyDescent="0.3">
      <c r="A24" s="11" t="str">
        <f>"TOTAL - "&amp;A6</f>
        <v>TOTAL - INTERSEÇÃO - km 713+700</v>
      </c>
      <c r="B24" s="12"/>
      <c r="C24" s="12"/>
      <c r="D24" s="12"/>
      <c r="E24" s="12"/>
      <c r="F24" s="12"/>
      <c r="G24" s="12"/>
      <c r="H24" s="12"/>
      <c r="I24" s="12">
        <v>0</v>
      </c>
      <c r="J24" s="13">
        <f>SUM(J7:J17)</f>
        <v>0</v>
      </c>
      <c r="K24" s="13">
        <f>SUM(K7:K23)</f>
        <v>58208.527369999756</v>
      </c>
      <c r="L24" s="13">
        <f>SUM(L7:L17)</f>
        <v>3387.56363499995</v>
      </c>
      <c r="M24" s="13">
        <f>SUM(M7:M17)</f>
        <v>1979.0107550000102</v>
      </c>
      <c r="N24" s="13">
        <f>SUM(N7:N23)</f>
        <v>63575.101759999714</v>
      </c>
      <c r="O24" s="13"/>
      <c r="P24" s="13">
        <f>SUM(P7:P23)</f>
        <v>44571.709999999992</v>
      </c>
    </row>
    <row r="25" spans="1:16" ht="15.75" thickBot="1" x14ac:dyDescent="0.3">
      <c r="A25" s="220" t="s">
        <v>60</v>
      </c>
      <c r="B25" s="221"/>
      <c r="C25" s="221"/>
      <c r="D25" s="221"/>
      <c r="E25" s="221"/>
      <c r="F25" s="221"/>
      <c r="G25" s="221"/>
      <c r="H25" s="221"/>
      <c r="I25" s="221"/>
      <c r="J25" s="221"/>
      <c r="K25" s="221"/>
      <c r="L25" s="221"/>
      <c r="M25" s="221"/>
      <c r="N25" s="222"/>
      <c r="O25" s="104"/>
      <c r="P25" s="104"/>
    </row>
    <row r="26" spans="1:16" x14ac:dyDescent="0.25">
      <c r="A26" s="74" t="s">
        <v>61</v>
      </c>
      <c r="B26" s="75">
        <v>714</v>
      </c>
      <c r="C26" s="76" t="s">
        <v>24</v>
      </c>
      <c r="D26" s="77">
        <v>107</v>
      </c>
      <c r="E26" s="75">
        <v>714</v>
      </c>
      <c r="F26" s="76" t="s">
        <v>24</v>
      </c>
      <c r="G26" s="77">
        <v>505.31400000001304</v>
      </c>
      <c r="H26" s="78">
        <f t="shared" ref="H26:H40" si="3">(E26*1000+G26)-(B26*1000+D26)</f>
        <v>398.31400000001304</v>
      </c>
      <c r="I26" s="79"/>
      <c r="J26" s="79"/>
      <c r="K26" s="79">
        <v>367.88184999998953</v>
      </c>
      <c r="L26" s="79">
        <v>11.586649999994552</v>
      </c>
      <c r="M26" s="79">
        <v>1068.4411600000358</v>
      </c>
      <c r="N26" s="92">
        <f>(K26+L26+M26)</f>
        <v>1447.9096600000198</v>
      </c>
      <c r="O26" s="89"/>
      <c r="P26" s="92">
        <v>991.1</v>
      </c>
    </row>
    <row r="27" spans="1:16" x14ac:dyDescent="0.25">
      <c r="A27" s="74" t="s">
        <v>62</v>
      </c>
      <c r="B27" s="75">
        <v>713</v>
      </c>
      <c r="C27" s="76" t="s">
        <v>24</v>
      </c>
      <c r="D27" s="77">
        <v>920</v>
      </c>
      <c r="E27" s="75">
        <v>715</v>
      </c>
      <c r="F27" s="76" t="s">
        <v>24</v>
      </c>
      <c r="G27" s="77">
        <v>413.26699999999255</v>
      </c>
      <c r="H27" s="78">
        <f t="shared" si="3"/>
        <v>1493.2669999999925</v>
      </c>
      <c r="I27" s="79"/>
      <c r="J27" s="78"/>
      <c r="K27" s="78">
        <v>7637.6261200000699</v>
      </c>
      <c r="L27" s="78">
        <v>1169.2127950000115</v>
      </c>
      <c r="M27" s="78">
        <v>5354.1575949999879</v>
      </c>
      <c r="N27" s="92">
        <f t="shared" ref="N27:N40" si="4">(K27+L27+M27)</f>
        <v>14160.99651000007</v>
      </c>
      <c r="O27" s="89"/>
      <c r="P27" s="92">
        <v>3155.5</v>
      </c>
    </row>
    <row r="28" spans="1:16" x14ac:dyDescent="0.25">
      <c r="A28" s="74" t="s">
        <v>63</v>
      </c>
      <c r="B28" s="75">
        <v>0</v>
      </c>
      <c r="C28" s="76" t="s">
        <v>24</v>
      </c>
      <c r="D28" s="77">
        <v>0</v>
      </c>
      <c r="E28" s="75">
        <v>0</v>
      </c>
      <c r="F28" s="76" t="s">
        <v>24</v>
      </c>
      <c r="G28" s="77">
        <v>27.012</v>
      </c>
      <c r="H28" s="78">
        <f t="shared" si="3"/>
        <v>27.012</v>
      </c>
      <c r="I28" s="79"/>
      <c r="J28" s="78"/>
      <c r="K28" s="78">
        <v>17.679940000000002</v>
      </c>
      <c r="L28" s="78">
        <v>0.2639800000000001</v>
      </c>
      <c r="M28" s="78">
        <v>119.30892000000001</v>
      </c>
      <c r="N28" s="92">
        <f t="shared" si="4"/>
        <v>137.25284000000002</v>
      </c>
      <c r="O28" s="89"/>
      <c r="P28" s="92">
        <v>169.8</v>
      </c>
    </row>
    <row r="29" spans="1:16" x14ac:dyDescent="0.25">
      <c r="A29" s="74" t="s">
        <v>64</v>
      </c>
      <c r="B29" s="75">
        <v>0</v>
      </c>
      <c r="C29" s="76" t="s">
        <v>24</v>
      </c>
      <c r="D29" s="77">
        <v>0</v>
      </c>
      <c r="E29" s="75">
        <v>0</v>
      </c>
      <c r="F29" s="76" t="s">
        <v>24</v>
      </c>
      <c r="G29" s="77">
        <v>27.012</v>
      </c>
      <c r="H29" s="78">
        <f t="shared" si="3"/>
        <v>27.012</v>
      </c>
      <c r="I29" s="79"/>
      <c r="J29" s="78"/>
      <c r="K29" s="78">
        <v>6.5380349999999998</v>
      </c>
      <c r="L29" s="78">
        <v>9.9999999999999992E-2</v>
      </c>
      <c r="M29" s="78">
        <v>127.072585</v>
      </c>
      <c r="N29" s="92">
        <f t="shared" si="4"/>
        <v>133.71062000000001</v>
      </c>
      <c r="O29" s="89"/>
      <c r="P29" s="92">
        <v>152.5</v>
      </c>
    </row>
    <row r="30" spans="1:16" x14ac:dyDescent="0.25">
      <c r="A30" s="74" t="s">
        <v>65</v>
      </c>
      <c r="B30" s="75">
        <v>0</v>
      </c>
      <c r="C30" s="76" t="s">
        <v>24</v>
      </c>
      <c r="D30" s="77">
        <v>0</v>
      </c>
      <c r="E30" s="75">
        <v>0</v>
      </c>
      <c r="F30" s="76" t="s">
        <v>24</v>
      </c>
      <c r="G30" s="77">
        <v>27.013000000000002</v>
      </c>
      <c r="H30" s="78">
        <f t="shared" si="3"/>
        <v>27.013000000000002</v>
      </c>
      <c r="I30" s="79"/>
      <c r="J30" s="78"/>
      <c r="K30" s="78">
        <v>14.594080000000002</v>
      </c>
      <c r="L30" s="78">
        <v>0</v>
      </c>
      <c r="M30" s="78">
        <v>76.351209999999995</v>
      </c>
      <c r="N30" s="92">
        <f t="shared" si="4"/>
        <v>90.94529</v>
      </c>
      <c r="O30" s="89"/>
      <c r="P30" s="92">
        <v>91.7</v>
      </c>
    </row>
    <row r="31" spans="1:16" x14ac:dyDescent="0.25">
      <c r="A31" s="74" t="s">
        <v>66</v>
      </c>
      <c r="B31" s="75">
        <v>0</v>
      </c>
      <c r="C31" s="76" t="s">
        <v>24</v>
      </c>
      <c r="D31" s="77">
        <v>0</v>
      </c>
      <c r="E31" s="75">
        <v>0</v>
      </c>
      <c r="F31" s="76" t="s">
        <v>24</v>
      </c>
      <c r="G31" s="77">
        <v>27.010999999999999</v>
      </c>
      <c r="H31" s="78">
        <f t="shared" si="3"/>
        <v>27.010999999999999</v>
      </c>
      <c r="I31" s="79"/>
      <c r="J31" s="78"/>
      <c r="K31" s="78">
        <v>14.871220000000001</v>
      </c>
      <c r="L31" s="78">
        <v>0</v>
      </c>
      <c r="M31" s="78">
        <v>78.629474999999999</v>
      </c>
      <c r="N31" s="92">
        <f t="shared" si="4"/>
        <v>93.500695000000007</v>
      </c>
      <c r="O31" s="89"/>
      <c r="P31" s="92">
        <v>152.4</v>
      </c>
    </row>
    <row r="32" spans="1:16" x14ac:dyDescent="0.25">
      <c r="A32" s="74" t="s">
        <v>67</v>
      </c>
      <c r="B32" s="75">
        <v>0</v>
      </c>
      <c r="C32" s="76" t="s">
        <v>24</v>
      </c>
      <c r="D32" s="77">
        <v>0</v>
      </c>
      <c r="E32" s="75">
        <v>0</v>
      </c>
      <c r="F32" s="76" t="s">
        <v>24</v>
      </c>
      <c r="G32" s="77">
        <v>27.01</v>
      </c>
      <c r="H32" s="78">
        <f t="shared" si="3"/>
        <v>27.01</v>
      </c>
      <c r="I32" s="79"/>
      <c r="J32" s="78"/>
      <c r="K32" s="78">
        <v>31.461019999999998</v>
      </c>
      <c r="L32" s="78">
        <v>0</v>
      </c>
      <c r="M32" s="78">
        <v>102.97062000000001</v>
      </c>
      <c r="N32" s="92">
        <f t="shared" si="4"/>
        <v>134.43164000000002</v>
      </c>
      <c r="O32" s="79"/>
      <c r="P32" s="92">
        <v>131.69999999999999</v>
      </c>
    </row>
    <row r="33" spans="1:16" x14ac:dyDescent="0.25">
      <c r="A33" s="74" t="s">
        <v>68</v>
      </c>
      <c r="B33" s="75">
        <v>0</v>
      </c>
      <c r="C33" s="76" t="s">
        <v>24</v>
      </c>
      <c r="D33" s="77">
        <v>0</v>
      </c>
      <c r="E33" s="75">
        <v>0</v>
      </c>
      <c r="F33" s="76" t="s">
        <v>24</v>
      </c>
      <c r="G33" s="77">
        <v>27.013999999999999</v>
      </c>
      <c r="H33" s="78">
        <f t="shared" si="3"/>
        <v>27.013999999999999</v>
      </c>
      <c r="I33" s="79"/>
      <c r="J33" s="78"/>
      <c r="K33" s="78">
        <v>44.833559999999999</v>
      </c>
      <c r="L33" s="78">
        <v>0</v>
      </c>
      <c r="M33" s="78">
        <v>104.95433000000001</v>
      </c>
      <c r="N33" s="92">
        <f t="shared" si="4"/>
        <v>149.78789</v>
      </c>
      <c r="O33" s="79"/>
      <c r="P33" s="92">
        <v>126</v>
      </c>
    </row>
    <row r="34" spans="1:16" x14ac:dyDescent="0.25">
      <c r="A34" s="74" t="s">
        <v>69</v>
      </c>
      <c r="B34" s="75">
        <v>714</v>
      </c>
      <c r="C34" s="76" t="s">
        <v>24</v>
      </c>
      <c r="D34" s="77">
        <v>110</v>
      </c>
      <c r="E34" s="75">
        <v>714</v>
      </c>
      <c r="F34" s="76" t="s">
        <v>24</v>
      </c>
      <c r="G34" s="77">
        <v>306.06499999994412</v>
      </c>
      <c r="H34" s="78">
        <f t="shared" si="3"/>
        <v>196.06499999994412</v>
      </c>
      <c r="I34" s="79"/>
      <c r="J34" s="78"/>
      <c r="K34" s="78">
        <v>22.909039999984095</v>
      </c>
      <c r="L34" s="78">
        <v>0</v>
      </c>
      <c r="M34" s="78">
        <v>529.49788999986993</v>
      </c>
      <c r="N34" s="92">
        <f t="shared" si="4"/>
        <v>552.40692999985401</v>
      </c>
      <c r="O34" s="79"/>
      <c r="P34" s="92">
        <v>236.8</v>
      </c>
    </row>
    <row r="35" spans="1:16" x14ac:dyDescent="0.25">
      <c r="A35" s="74" t="s">
        <v>70</v>
      </c>
      <c r="B35" s="75">
        <v>713</v>
      </c>
      <c r="C35" s="76" t="s">
        <v>24</v>
      </c>
      <c r="D35" s="77">
        <v>889</v>
      </c>
      <c r="E35" s="75">
        <v>715</v>
      </c>
      <c r="F35" s="76" t="s">
        <v>24</v>
      </c>
      <c r="G35" s="77">
        <v>405.43999999994412</v>
      </c>
      <c r="H35" s="78">
        <f t="shared" si="3"/>
        <v>1516.4399999999441</v>
      </c>
      <c r="I35" s="79"/>
      <c r="J35" s="78"/>
      <c r="K35" s="78">
        <v>3341.9193849986009</v>
      </c>
      <c r="L35" s="78">
        <v>852.6655549998361</v>
      </c>
      <c r="M35" s="78">
        <v>2430.0899600000812</v>
      </c>
      <c r="N35" s="92">
        <f t="shared" si="4"/>
        <v>6624.6748999985184</v>
      </c>
      <c r="O35" s="79"/>
      <c r="P35" s="92">
        <v>811.5</v>
      </c>
    </row>
    <row r="36" spans="1:16" x14ac:dyDescent="0.25">
      <c r="A36" s="74" t="s">
        <v>71</v>
      </c>
      <c r="B36" s="75">
        <v>0</v>
      </c>
      <c r="C36" s="76" t="s">
        <v>24</v>
      </c>
      <c r="D36" s="77">
        <v>0</v>
      </c>
      <c r="E36" s="75">
        <v>0</v>
      </c>
      <c r="F36" s="76" t="s">
        <v>24</v>
      </c>
      <c r="G36" s="77">
        <v>18.016999999999999</v>
      </c>
      <c r="H36" s="78">
        <f t="shared" si="3"/>
        <v>18.016999999999999</v>
      </c>
      <c r="I36" s="79"/>
      <c r="J36" s="78"/>
      <c r="K36" s="78">
        <v>21.812564999999999</v>
      </c>
      <c r="L36" s="78">
        <v>0</v>
      </c>
      <c r="M36" s="78">
        <v>45.189495000000001</v>
      </c>
      <c r="N36" s="92">
        <f t="shared" si="4"/>
        <v>67.00206</v>
      </c>
      <c r="O36" s="79"/>
      <c r="P36" s="92">
        <v>49.4</v>
      </c>
    </row>
    <row r="37" spans="1:16" x14ac:dyDescent="0.25">
      <c r="A37" s="74" t="s">
        <v>72</v>
      </c>
      <c r="B37" s="75">
        <v>0</v>
      </c>
      <c r="C37" s="76" t="s">
        <v>24</v>
      </c>
      <c r="D37" s="77">
        <v>0</v>
      </c>
      <c r="E37" s="75">
        <v>0</v>
      </c>
      <c r="F37" s="76" t="s">
        <v>24</v>
      </c>
      <c r="G37" s="77">
        <v>18.015999999999998</v>
      </c>
      <c r="H37" s="78">
        <f t="shared" si="3"/>
        <v>18.015999999999998</v>
      </c>
      <c r="I37" s="79"/>
      <c r="J37" s="78"/>
      <c r="K37" s="78">
        <v>8.2524800000000003</v>
      </c>
      <c r="L37" s="78">
        <v>0</v>
      </c>
      <c r="M37" s="78">
        <v>37.146769999999997</v>
      </c>
      <c r="N37" s="92">
        <f t="shared" si="4"/>
        <v>45.399249999999995</v>
      </c>
      <c r="O37" s="79"/>
      <c r="P37" s="92">
        <v>43.5</v>
      </c>
    </row>
    <row r="38" spans="1:16" x14ac:dyDescent="0.25">
      <c r="A38" s="74" t="s">
        <v>73</v>
      </c>
      <c r="B38" s="75">
        <v>0</v>
      </c>
      <c r="C38" s="76" t="s">
        <v>24</v>
      </c>
      <c r="D38" s="77">
        <v>0</v>
      </c>
      <c r="E38" s="75">
        <v>0</v>
      </c>
      <c r="F38" s="76" t="s">
        <v>24</v>
      </c>
      <c r="G38" s="77">
        <v>16.876999999999999</v>
      </c>
      <c r="H38" s="78">
        <f t="shared" si="3"/>
        <v>16.876999999999999</v>
      </c>
      <c r="I38" s="79"/>
      <c r="J38" s="78"/>
      <c r="K38" s="78">
        <v>9.2248399999999986</v>
      </c>
      <c r="L38" s="78">
        <v>0</v>
      </c>
      <c r="M38" s="78">
        <v>69.014899999999997</v>
      </c>
      <c r="N38" s="92">
        <f>(K38+L38+M38)</f>
        <v>78.239739999999998</v>
      </c>
      <c r="O38" s="79"/>
      <c r="P38" s="92">
        <v>79.400000000000006</v>
      </c>
    </row>
    <row r="39" spans="1:16" x14ac:dyDescent="0.25">
      <c r="A39" s="74" t="s">
        <v>74</v>
      </c>
      <c r="B39" s="75">
        <v>0</v>
      </c>
      <c r="C39" s="76" t="s">
        <v>24</v>
      </c>
      <c r="D39" s="77">
        <v>0</v>
      </c>
      <c r="E39" s="75">
        <v>0</v>
      </c>
      <c r="F39" s="76" t="s">
        <v>24</v>
      </c>
      <c r="G39" s="77">
        <v>16.946999999999999</v>
      </c>
      <c r="H39" s="78">
        <f t="shared" si="3"/>
        <v>16.946999999999999</v>
      </c>
      <c r="I39" s="79"/>
      <c r="J39" s="78"/>
      <c r="K39" s="78">
        <v>7.8751549999999995</v>
      </c>
      <c r="L39" s="78">
        <v>0</v>
      </c>
      <c r="M39" s="78">
        <v>56.281149999999982</v>
      </c>
      <c r="N39" s="92">
        <f t="shared" ref="N39" si="5">(K39+L39+M39)</f>
        <v>64.156304999999975</v>
      </c>
      <c r="O39" s="79"/>
      <c r="P39" s="92">
        <v>61.5</v>
      </c>
    </row>
    <row r="40" spans="1:16" ht="15.75" thickBot="1" x14ac:dyDescent="0.3">
      <c r="A40" s="74" t="s">
        <v>75</v>
      </c>
      <c r="B40" s="75">
        <v>0</v>
      </c>
      <c r="C40" s="76" t="s">
        <v>24</v>
      </c>
      <c r="D40" s="77">
        <v>0</v>
      </c>
      <c r="E40" s="75">
        <v>0</v>
      </c>
      <c r="F40" s="76" t="s">
        <v>24</v>
      </c>
      <c r="G40" s="77">
        <v>9.4879999999999995</v>
      </c>
      <c r="H40" s="78">
        <f t="shared" si="3"/>
        <v>9.4879999999999995</v>
      </c>
      <c r="I40" s="79"/>
      <c r="J40" s="78"/>
      <c r="K40" s="78">
        <v>0.24683999999999998</v>
      </c>
      <c r="L40" s="78">
        <v>0</v>
      </c>
      <c r="M40" s="78">
        <v>3.5579999999999994</v>
      </c>
      <c r="N40" s="92">
        <f t="shared" si="4"/>
        <v>3.8048399999999996</v>
      </c>
      <c r="O40" s="79"/>
      <c r="P40" s="92">
        <v>20.6</v>
      </c>
    </row>
    <row r="41" spans="1:16" ht="15.75" thickBot="1" x14ac:dyDescent="0.3">
      <c r="A41" s="11" t="str">
        <f>"TOTAL - "&amp;A25</f>
        <v>TOTAL - TRAVESSIA URBANA - PRIMAVERA</v>
      </c>
      <c r="B41" s="12"/>
      <c r="C41" s="12"/>
      <c r="D41" s="12"/>
      <c r="E41" s="12"/>
      <c r="F41" s="12"/>
      <c r="G41" s="12"/>
      <c r="H41" s="12"/>
      <c r="I41" s="13">
        <f t="shared" ref="I41:O41" si="6">SUM(I26:I40)</f>
        <v>0</v>
      </c>
      <c r="J41" s="13">
        <f t="shared" si="6"/>
        <v>0</v>
      </c>
      <c r="K41" s="13">
        <f t="shared" si="6"/>
        <v>11547.726129998644</v>
      </c>
      <c r="L41" s="13">
        <f t="shared" si="6"/>
        <v>2033.828979999842</v>
      </c>
      <c r="M41" s="13">
        <f t="shared" si="6"/>
        <v>10202.664059999976</v>
      </c>
      <c r="N41" s="13">
        <f t="shared" si="6"/>
        <v>23784.219169998461</v>
      </c>
      <c r="O41" s="13">
        <f t="shared" si="6"/>
        <v>0</v>
      </c>
      <c r="P41" s="13">
        <f>SUM(P26:P40)</f>
        <v>6273.4</v>
      </c>
    </row>
    <row r="42" spans="1:16" ht="15.75" thickBot="1" x14ac:dyDescent="0.3">
      <c r="A42" s="11" t="s">
        <v>43</v>
      </c>
      <c r="B42" s="12"/>
      <c r="C42" s="12"/>
      <c r="D42" s="12"/>
      <c r="E42" s="12"/>
      <c r="F42" s="12"/>
      <c r="G42" s="12"/>
      <c r="H42" s="13"/>
      <c r="I42" s="14">
        <f t="shared" ref="I42:M42" si="7">I24+I41</f>
        <v>0</v>
      </c>
      <c r="J42" s="14">
        <f t="shared" si="7"/>
        <v>0</v>
      </c>
      <c r="K42" s="14">
        <f t="shared" si="7"/>
        <v>69756.253499998405</v>
      </c>
      <c r="L42" s="14">
        <f t="shared" si="7"/>
        <v>5421.3926149997915</v>
      </c>
      <c r="M42" s="14">
        <f t="shared" si="7"/>
        <v>12181.674814999986</v>
      </c>
      <c r="N42" s="14">
        <f>N24+N41</f>
        <v>87359.320929998183</v>
      </c>
      <c r="O42" s="14">
        <f t="shared" ref="O42" si="8">O24+O41</f>
        <v>0</v>
      </c>
      <c r="P42" s="14">
        <f>P24+P41</f>
        <v>50845.109999999993</v>
      </c>
    </row>
  </sheetData>
  <mergeCells count="13">
    <mergeCell ref="O3:P3"/>
    <mergeCell ref="A6:N6"/>
    <mergeCell ref="A25:N25"/>
    <mergeCell ref="A1:N1"/>
    <mergeCell ref="B2:N2"/>
    <mergeCell ref="A3:A5"/>
    <mergeCell ref="B3:G4"/>
    <mergeCell ref="H3:H5"/>
    <mergeCell ref="I3:N3"/>
    <mergeCell ref="I4:J4"/>
    <mergeCell ref="K4:N4"/>
    <mergeCell ref="B5:D5"/>
    <mergeCell ref="E5:G5"/>
  </mergeCells>
  <phoneticPr fontId="11" type="noConversion"/>
  <pageMargins left="0.511811024" right="0.511811024" top="0.78740157499999996" bottom="0.78740157499999996" header="0.31496062000000002" footer="0.31496062000000002"/>
  <pageSetup paperSize="8" scale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06A6-1EF0-4C86-B725-10A349B93F3B}">
  <sheetPr>
    <pageSetUpPr fitToPage="1"/>
  </sheetPr>
  <dimension ref="A1:AF49"/>
  <sheetViews>
    <sheetView topLeftCell="W1" workbookViewId="0">
      <pane ySplit="1" topLeftCell="A2" activePane="bottomLeft" state="frozen"/>
      <selection activeCell="O1" sqref="O1"/>
      <selection pane="bottomLeft" activeCell="AC46" sqref="AC46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425781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2" width="17.7109375" customWidth="1"/>
    <col min="13" max="13" width="18.7109375" bestFit="1" customWidth="1"/>
    <col min="14" max="14" width="17.7109375" customWidth="1"/>
    <col min="16" max="16" width="47.7109375" bestFit="1" customWidth="1"/>
    <col min="17" max="17" width="5.7109375" customWidth="1"/>
    <col min="18" max="18" width="1.7109375" customWidth="1"/>
    <col min="19" max="19" width="8.42578125" bestFit="1" customWidth="1"/>
    <col min="20" max="20" width="5.7109375" customWidth="1"/>
    <col min="21" max="21" width="1.7109375" customWidth="1"/>
    <col min="22" max="22" width="8.140625" bestFit="1" customWidth="1"/>
    <col min="23" max="23" width="12.42578125" bestFit="1" customWidth="1"/>
    <col min="24" max="27" width="17.7109375" customWidth="1"/>
    <col min="28" max="28" width="18.7109375" bestFit="1" customWidth="1"/>
    <col min="29" max="29" width="17.7109375" customWidth="1"/>
    <col min="30" max="30" width="18.28515625" style="40" customWidth="1"/>
    <col min="31" max="31" width="13" style="40" customWidth="1"/>
    <col min="32" max="32" width="29" customWidth="1"/>
  </cols>
  <sheetData>
    <row r="1" spans="1:32" ht="16.5" x14ac:dyDescent="0.25">
      <c r="A1" s="263" t="s">
        <v>0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5"/>
      <c r="P1" s="275" t="s">
        <v>76</v>
      </c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7"/>
    </row>
    <row r="2" spans="1:32" x14ac:dyDescent="0.25">
      <c r="A2" s="1" t="s">
        <v>44</v>
      </c>
      <c r="B2" s="266" t="s">
        <v>2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8"/>
      <c r="P2" s="184" t="s">
        <v>44</v>
      </c>
      <c r="Q2" s="278" t="s">
        <v>2</v>
      </c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80"/>
    </row>
    <row r="3" spans="1:32" x14ac:dyDescent="0.25">
      <c r="A3" s="229" t="s">
        <v>4</v>
      </c>
      <c r="B3" s="230" t="s">
        <v>5</v>
      </c>
      <c r="C3" s="231"/>
      <c r="D3" s="231"/>
      <c r="E3" s="231"/>
      <c r="F3" s="231"/>
      <c r="G3" s="232"/>
      <c r="H3" s="236" t="s">
        <v>6</v>
      </c>
      <c r="I3" s="241" t="s">
        <v>77</v>
      </c>
      <c r="J3" s="243"/>
      <c r="K3" s="243"/>
      <c r="L3" s="243"/>
      <c r="M3" s="243"/>
      <c r="N3" s="244"/>
      <c r="P3" s="229" t="s">
        <v>4</v>
      </c>
      <c r="Q3" s="230" t="s">
        <v>5</v>
      </c>
      <c r="R3" s="231"/>
      <c r="S3" s="231"/>
      <c r="T3" s="231"/>
      <c r="U3" s="231"/>
      <c r="V3" s="232"/>
      <c r="W3" s="236" t="s">
        <v>6</v>
      </c>
      <c r="X3" s="241" t="s">
        <v>77</v>
      </c>
      <c r="Y3" s="243"/>
      <c r="Z3" s="243"/>
      <c r="AA3" s="243"/>
      <c r="AB3" s="243"/>
      <c r="AC3" s="244"/>
    </row>
    <row r="4" spans="1:32" x14ac:dyDescent="0.25">
      <c r="A4" s="229"/>
      <c r="B4" s="233"/>
      <c r="C4" s="234"/>
      <c r="D4" s="234"/>
      <c r="E4" s="234"/>
      <c r="F4" s="234"/>
      <c r="G4" s="235"/>
      <c r="H4" s="236"/>
      <c r="I4" s="241" t="s">
        <v>9</v>
      </c>
      <c r="J4" s="242"/>
      <c r="K4" s="241" t="s">
        <v>35</v>
      </c>
      <c r="L4" s="243"/>
      <c r="M4" s="243"/>
      <c r="N4" s="244"/>
      <c r="P4" s="229"/>
      <c r="Q4" s="233"/>
      <c r="R4" s="234"/>
      <c r="S4" s="234"/>
      <c r="T4" s="234"/>
      <c r="U4" s="234"/>
      <c r="V4" s="235"/>
      <c r="W4" s="236"/>
      <c r="X4" s="241" t="s">
        <v>9</v>
      </c>
      <c r="Y4" s="242"/>
      <c r="Z4" s="241" t="s">
        <v>35</v>
      </c>
      <c r="AA4" s="243"/>
      <c r="AB4" s="243"/>
      <c r="AC4" s="244"/>
    </row>
    <row r="5" spans="1:32" ht="43.5" thickBot="1" x14ac:dyDescent="0.3">
      <c r="A5" s="254"/>
      <c r="B5" s="256" t="s">
        <v>13</v>
      </c>
      <c r="C5" s="256"/>
      <c r="D5" s="256"/>
      <c r="E5" s="256" t="s">
        <v>14</v>
      </c>
      <c r="F5" s="256"/>
      <c r="G5" s="256"/>
      <c r="H5" s="255"/>
      <c r="I5" s="2" t="s">
        <v>15</v>
      </c>
      <c r="J5" s="2" t="s">
        <v>16</v>
      </c>
      <c r="K5" s="2" t="s">
        <v>17</v>
      </c>
      <c r="L5" s="2" t="s">
        <v>36</v>
      </c>
      <c r="M5" s="2" t="s">
        <v>18</v>
      </c>
      <c r="N5" s="3" t="s">
        <v>45</v>
      </c>
      <c r="P5" s="254"/>
      <c r="Q5" s="256" t="s">
        <v>13</v>
      </c>
      <c r="R5" s="256"/>
      <c r="S5" s="256"/>
      <c r="T5" s="256" t="s">
        <v>14</v>
      </c>
      <c r="U5" s="256"/>
      <c r="V5" s="256"/>
      <c r="W5" s="255"/>
      <c r="X5" s="2" t="s">
        <v>15</v>
      </c>
      <c r="Y5" s="2" t="s">
        <v>16</v>
      </c>
      <c r="Z5" s="2" t="s">
        <v>17</v>
      </c>
      <c r="AA5" s="2" t="s">
        <v>36</v>
      </c>
      <c r="AB5" s="2" t="s">
        <v>18</v>
      </c>
      <c r="AC5" s="185" t="s">
        <v>45</v>
      </c>
      <c r="AD5" s="182" t="s">
        <v>78</v>
      </c>
      <c r="AE5" s="182" t="s">
        <v>79</v>
      </c>
      <c r="AF5" s="182" t="s">
        <v>80</v>
      </c>
    </row>
    <row r="6" spans="1:32" x14ac:dyDescent="0.25">
      <c r="A6" s="269" t="s">
        <v>81</v>
      </c>
      <c r="B6" s="270"/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1"/>
      <c r="P6" s="269" t="s">
        <v>81</v>
      </c>
      <c r="Q6" s="270"/>
      <c r="R6" s="270"/>
      <c r="S6" s="270"/>
      <c r="T6" s="270"/>
      <c r="U6" s="270"/>
      <c r="V6" s="270"/>
      <c r="W6" s="270"/>
      <c r="X6" s="270"/>
      <c r="Y6" s="270"/>
      <c r="Z6" s="270"/>
      <c r="AA6" s="270"/>
      <c r="AB6" s="270"/>
      <c r="AC6" s="271"/>
      <c r="AD6" s="154"/>
      <c r="AE6" s="154"/>
      <c r="AF6" s="181"/>
    </row>
    <row r="7" spans="1:32" x14ac:dyDescent="0.25">
      <c r="A7" s="4" t="s">
        <v>82</v>
      </c>
      <c r="B7" s="5">
        <v>746</v>
      </c>
      <c r="C7" s="6" t="s">
        <v>24</v>
      </c>
      <c r="D7" s="7">
        <v>20</v>
      </c>
      <c r="E7" s="5">
        <v>746</v>
      </c>
      <c r="F7" s="6" t="s">
        <v>24</v>
      </c>
      <c r="G7" s="7">
        <v>640</v>
      </c>
      <c r="H7" s="8">
        <f t="shared" ref="H7:H23" si="0">(E7*1000+G7)-(B7*1000+D7)</f>
        <v>620</v>
      </c>
      <c r="I7" s="9"/>
      <c r="J7" s="9"/>
      <c r="K7" s="9">
        <v>48169.55000000001</v>
      </c>
      <c r="L7" s="9">
        <v>6561.6000000000013</v>
      </c>
      <c r="M7" s="9">
        <v>0</v>
      </c>
      <c r="N7" s="10">
        <f>(K7+L7+M7)</f>
        <v>54731.150000000009</v>
      </c>
      <c r="P7" s="4" t="s">
        <v>82</v>
      </c>
      <c r="Q7" s="5">
        <v>746</v>
      </c>
      <c r="R7" s="6" t="s">
        <v>24</v>
      </c>
      <c r="S7" s="7">
        <v>20</v>
      </c>
      <c r="T7" s="5">
        <v>746</v>
      </c>
      <c r="U7" s="6" t="s">
        <v>24</v>
      </c>
      <c r="V7" s="7">
        <v>640</v>
      </c>
      <c r="W7" s="8">
        <f t="shared" ref="W7:W23" si="1">(T7*1000+V7)-(Q7*1000+S7)</f>
        <v>620</v>
      </c>
      <c r="X7" s="9"/>
      <c r="Y7" s="9"/>
      <c r="Z7" s="9">
        <v>50423.5</v>
      </c>
      <c r="AA7" s="9"/>
      <c r="AB7" s="9">
        <v>0</v>
      </c>
      <c r="AC7" s="8">
        <f>(Z7+AA7+AB7)</f>
        <v>50423.5</v>
      </c>
      <c r="AD7" s="183">
        <f>N7</f>
        <v>54731.150000000009</v>
      </c>
      <c r="AE7" s="187">
        <f>AD7-AC7</f>
        <v>4307.6500000000087</v>
      </c>
      <c r="AF7" s="154" t="s">
        <v>83</v>
      </c>
    </row>
    <row r="8" spans="1:32" x14ac:dyDescent="0.25">
      <c r="A8" s="4" t="s">
        <v>47</v>
      </c>
      <c r="B8" s="5">
        <v>100</v>
      </c>
      <c r="C8" s="6" t="s">
        <v>24</v>
      </c>
      <c r="D8" s="7">
        <v>0</v>
      </c>
      <c r="E8" s="5">
        <v>100</v>
      </c>
      <c r="F8" s="6" t="s">
        <v>24</v>
      </c>
      <c r="G8" s="7">
        <v>34.339999999996508</v>
      </c>
      <c r="H8" s="8">
        <f t="shared" si="0"/>
        <v>34.339999999996508</v>
      </c>
      <c r="I8" s="9"/>
      <c r="J8" s="9"/>
      <c r="K8" s="9">
        <v>8.5500000000000007</v>
      </c>
      <c r="L8" s="9">
        <v>0.55000000000000049</v>
      </c>
      <c r="M8" s="9">
        <v>228.64799999997487</v>
      </c>
      <c r="N8" s="10">
        <f t="shared" ref="N8:N23" si="2">(K8+L8+M8)</f>
        <v>237.74799999997487</v>
      </c>
      <c r="P8" s="4" t="s">
        <v>47</v>
      </c>
      <c r="Q8" s="5">
        <v>100</v>
      </c>
      <c r="R8" s="6" t="s">
        <v>24</v>
      </c>
      <c r="S8" s="7">
        <v>0</v>
      </c>
      <c r="T8" s="5">
        <v>100</v>
      </c>
      <c r="U8" s="6" t="s">
        <v>24</v>
      </c>
      <c r="V8" s="7">
        <v>34.339999999996508</v>
      </c>
      <c r="W8" s="8">
        <f t="shared" si="1"/>
        <v>34.339999999996508</v>
      </c>
      <c r="X8" s="9"/>
      <c r="Y8" s="9"/>
      <c r="Z8" s="9">
        <v>0</v>
      </c>
      <c r="AA8" s="9">
        <v>0</v>
      </c>
      <c r="AB8" s="9">
        <v>232.4</v>
      </c>
      <c r="AC8" s="8">
        <f t="shared" ref="AC8:AC23" si="3">(Z8+AA8+AB8)</f>
        <v>232.4</v>
      </c>
      <c r="AD8" s="183">
        <f t="shared" ref="AD8:AD25" si="4">N8</f>
        <v>237.74799999997487</v>
      </c>
      <c r="AE8" s="187">
        <f t="shared" ref="AE8:AE27" si="5">AD8-AC8</f>
        <v>5.34799999997486</v>
      </c>
      <c r="AF8" s="154" t="s">
        <v>84</v>
      </c>
    </row>
    <row r="9" spans="1:32" x14ac:dyDescent="0.25">
      <c r="A9" s="4" t="s">
        <v>85</v>
      </c>
      <c r="B9" s="5">
        <v>200</v>
      </c>
      <c r="C9" s="6" t="s">
        <v>24</v>
      </c>
      <c r="D9" s="7">
        <v>0</v>
      </c>
      <c r="E9" s="5">
        <v>200</v>
      </c>
      <c r="F9" s="6" t="s">
        <v>24</v>
      </c>
      <c r="G9" s="7">
        <v>602.7609999999986</v>
      </c>
      <c r="H9" s="8">
        <f t="shared" si="0"/>
        <v>602.7609999999986</v>
      </c>
      <c r="I9" s="9"/>
      <c r="J9" s="9"/>
      <c r="K9" s="9">
        <v>2414.3830050000315</v>
      </c>
      <c r="L9" s="9">
        <v>484.4116600000043</v>
      </c>
      <c r="M9" s="9">
        <v>1608.5802199999964</v>
      </c>
      <c r="N9" s="10">
        <f t="shared" si="2"/>
        <v>4507.374885000032</v>
      </c>
      <c r="P9" s="4" t="s">
        <v>85</v>
      </c>
      <c r="Q9" s="5">
        <v>200</v>
      </c>
      <c r="R9" s="6" t="s">
        <v>24</v>
      </c>
      <c r="S9" s="7">
        <v>0</v>
      </c>
      <c r="T9" s="5">
        <v>200</v>
      </c>
      <c r="U9" s="6" t="s">
        <v>24</v>
      </c>
      <c r="V9" s="7">
        <v>602.7609999999986</v>
      </c>
      <c r="W9" s="8">
        <f t="shared" si="1"/>
        <v>602.7609999999986</v>
      </c>
      <c r="X9" s="9"/>
      <c r="Y9" s="9"/>
      <c r="Z9" s="9">
        <v>1198.3</v>
      </c>
      <c r="AA9" s="9"/>
      <c r="AB9" s="9">
        <v>1450.8</v>
      </c>
      <c r="AC9" s="8">
        <f t="shared" si="3"/>
        <v>2649.1</v>
      </c>
      <c r="AD9" s="183">
        <f t="shared" si="4"/>
        <v>4507.374885000032</v>
      </c>
      <c r="AE9" s="187">
        <f t="shared" si="5"/>
        <v>1858.2748850000321</v>
      </c>
      <c r="AF9" s="154" t="s">
        <v>84</v>
      </c>
    </row>
    <row r="10" spans="1:32" x14ac:dyDescent="0.25">
      <c r="A10" s="4" t="s">
        <v>86</v>
      </c>
      <c r="B10" s="5">
        <v>0</v>
      </c>
      <c r="C10" s="6" t="s">
        <v>24</v>
      </c>
      <c r="D10" s="7">
        <v>0</v>
      </c>
      <c r="E10" s="5">
        <v>0</v>
      </c>
      <c r="F10" s="6" t="s">
        <v>24</v>
      </c>
      <c r="G10" s="7">
        <v>112.831</v>
      </c>
      <c r="H10" s="8">
        <f t="shared" si="0"/>
        <v>112.831</v>
      </c>
      <c r="I10" s="9"/>
      <c r="J10" s="9"/>
      <c r="K10" s="9">
        <v>73.769289999999998</v>
      </c>
      <c r="L10" s="9">
        <v>0</v>
      </c>
      <c r="M10" s="9">
        <v>495.34969999999993</v>
      </c>
      <c r="N10" s="10">
        <f t="shared" si="2"/>
        <v>569.11898999999994</v>
      </c>
      <c r="P10" s="4" t="s">
        <v>86</v>
      </c>
      <c r="Q10" s="5">
        <v>0</v>
      </c>
      <c r="R10" s="6" t="s">
        <v>24</v>
      </c>
      <c r="S10" s="7">
        <v>0</v>
      </c>
      <c r="T10" s="5">
        <v>0</v>
      </c>
      <c r="U10" s="6" t="s">
        <v>24</v>
      </c>
      <c r="V10" s="7">
        <v>112.831</v>
      </c>
      <c r="W10" s="8">
        <f t="shared" si="1"/>
        <v>112.831</v>
      </c>
      <c r="X10" s="9"/>
      <c r="Y10" s="9"/>
      <c r="Z10" s="9">
        <v>0</v>
      </c>
      <c r="AA10" s="9">
        <v>0</v>
      </c>
      <c r="AB10" s="9">
        <v>593.6</v>
      </c>
      <c r="AC10" s="8">
        <f t="shared" si="3"/>
        <v>593.6</v>
      </c>
      <c r="AD10" s="183">
        <f t="shared" si="4"/>
        <v>569.11898999999994</v>
      </c>
      <c r="AE10" s="187">
        <f t="shared" si="5"/>
        <v>-24.481010000000083</v>
      </c>
      <c r="AF10" s="154" t="s">
        <v>84</v>
      </c>
    </row>
    <row r="11" spans="1:32" x14ac:dyDescent="0.25">
      <c r="A11" s="4" t="s">
        <v>87</v>
      </c>
      <c r="B11" s="5">
        <v>0</v>
      </c>
      <c r="C11" s="6" t="s">
        <v>24</v>
      </c>
      <c r="D11" s="7">
        <v>0</v>
      </c>
      <c r="E11" s="5">
        <v>0</v>
      </c>
      <c r="F11" s="6" t="s">
        <v>24</v>
      </c>
      <c r="G11" s="7">
        <v>42.08</v>
      </c>
      <c r="H11" s="8">
        <f t="shared" si="0"/>
        <v>42.08</v>
      </c>
      <c r="I11" s="9"/>
      <c r="J11" s="9"/>
      <c r="K11" s="9">
        <v>105.5164</v>
      </c>
      <c r="L11" s="9">
        <v>6.3947999999999974</v>
      </c>
      <c r="M11" s="9">
        <v>159.78320000000002</v>
      </c>
      <c r="N11" s="10">
        <f t="shared" si="2"/>
        <v>271.69440000000003</v>
      </c>
      <c r="P11" s="4" t="s">
        <v>87</v>
      </c>
      <c r="Q11" s="5">
        <v>0</v>
      </c>
      <c r="R11" s="6" t="s">
        <v>24</v>
      </c>
      <c r="S11" s="7">
        <v>0</v>
      </c>
      <c r="T11" s="5">
        <v>0</v>
      </c>
      <c r="U11" s="6" t="s">
        <v>24</v>
      </c>
      <c r="V11" s="7">
        <v>42.08</v>
      </c>
      <c r="W11" s="8">
        <f t="shared" si="1"/>
        <v>42.08</v>
      </c>
      <c r="X11" s="9"/>
      <c r="Y11" s="9"/>
      <c r="Z11" s="9">
        <v>122.5</v>
      </c>
      <c r="AA11" s="9">
        <v>0</v>
      </c>
      <c r="AB11" s="9">
        <v>129.80000000000001</v>
      </c>
      <c r="AC11" s="8">
        <f t="shared" si="3"/>
        <v>252.3</v>
      </c>
      <c r="AD11" s="183">
        <f t="shared" si="4"/>
        <v>271.69440000000003</v>
      </c>
      <c r="AE11" s="187">
        <f t="shared" si="5"/>
        <v>19.394400000000019</v>
      </c>
      <c r="AF11" s="154" t="s">
        <v>84</v>
      </c>
    </row>
    <row r="12" spans="1:32" x14ac:dyDescent="0.25">
      <c r="A12" s="4" t="s">
        <v>49</v>
      </c>
      <c r="B12" s="5">
        <v>0</v>
      </c>
      <c r="C12" s="6" t="s">
        <v>24</v>
      </c>
      <c r="D12" s="7">
        <v>0</v>
      </c>
      <c r="E12" s="5">
        <v>0</v>
      </c>
      <c r="F12" s="6" t="s">
        <v>24</v>
      </c>
      <c r="G12" s="7">
        <v>72.730999999999995</v>
      </c>
      <c r="H12" s="8">
        <f t="shared" si="0"/>
        <v>72.730999999999995</v>
      </c>
      <c r="I12" s="9"/>
      <c r="J12" s="9"/>
      <c r="K12" s="9">
        <v>85.93869500000001</v>
      </c>
      <c r="L12" s="9">
        <v>2.0155949999999971</v>
      </c>
      <c r="M12" s="9">
        <v>197.98798000000002</v>
      </c>
      <c r="N12" s="10">
        <f t="shared" si="2"/>
        <v>285.94227000000001</v>
      </c>
      <c r="P12" s="4" t="s">
        <v>49</v>
      </c>
      <c r="Q12" s="5">
        <v>0</v>
      </c>
      <c r="R12" s="6" t="s">
        <v>24</v>
      </c>
      <c r="S12" s="7">
        <v>0</v>
      </c>
      <c r="T12" s="5">
        <v>0</v>
      </c>
      <c r="U12" s="6" t="s">
        <v>24</v>
      </c>
      <c r="V12" s="7">
        <v>72.730999999999995</v>
      </c>
      <c r="W12" s="8">
        <f t="shared" si="1"/>
        <v>72.730999999999995</v>
      </c>
      <c r="X12" s="9"/>
      <c r="Y12" s="9"/>
      <c r="Z12" s="9">
        <v>73.400000000000006</v>
      </c>
      <c r="AA12" s="9">
        <v>0</v>
      </c>
      <c r="AB12" s="9">
        <v>159.4</v>
      </c>
      <c r="AC12" s="8">
        <f t="shared" si="3"/>
        <v>232.8</v>
      </c>
      <c r="AD12" s="183">
        <f t="shared" si="4"/>
        <v>285.94227000000001</v>
      </c>
      <c r="AE12" s="187">
        <f t="shared" si="5"/>
        <v>53.142269999999996</v>
      </c>
      <c r="AF12" s="154" t="s">
        <v>84</v>
      </c>
    </row>
    <row r="13" spans="1:32" x14ac:dyDescent="0.25">
      <c r="A13" s="4" t="s">
        <v>50</v>
      </c>
      <c r="B13" s="5">
        <v>0</v>
      </c>
      <c r="C13" s="6" t="s">
        <v>24</v>
      </c>
      <c r="D13" s="7">
        <v>0</v>
      </c>
      <c r="E13" s="5">
        <v>0</v>
      </c>
      <c r="F13" s="6" t="s">
        <v>24</v>
      </c>
      <c r="G13" s="7">
        <v>57.868000000000002</v>
      </c>
      <c r="H13" s="8">
        <f t="shared" si="0"/>
        <v>57.868000000000002</v>
      </c>
      <c r="I13" s="9"/>
      <c r="J13" s="9"/>
      <c r="K13" s="9">
        <v>92.29768</v>
      </c>
      <c r="L13" s="9">
        <v>12.57037</v>
      </c>
      <c r="M13" s="9">
        <v>158.82104000000004</v>
      </c>
      <c r="N13" s="10">
        <f t="shared" si="2"/>
        <v>263.68909000000002</v>
      </c>
      <c r="P13" s="4" t="s">
        <v>50</v>
      </c>
      <c r="Q13" s="5">
        <v>0</v>
      </c>
      <c r="R13" s="6" t="s">
        <v>24</v>
      </c>
      <c r="S13" s="7">
        <v>0</v>
      </c>
      <c r="T13" s="5">
        <v>0</v>
      </c>
      <c r="U13" s="6" t="s">
        <v>24</v>
      </c>
      <c r="V13" s="7">
        <v>57.868000000000002</v>
      </c>
      <c r="W13" s="8">
        <f t="shared" si="1"/>
        <v>57.868000000000002</v>
      </c>
      <c r="X13" s="9"/>
      <c r="Y13" s="9"/>
      <c r="Z13" s="9">
        <v>5.8</v>
      </c>
      <c r="AA13" s="9">
        <v>0</v>
      </c>
      <c r="AB13" s="9">
        <v>198.4</v>
      </c>
      <c r="AC13" s="8">
        <f t="shared" si="3"/>
        <v>204.20000000000002</v>
      </c>
      <c r="AD13" s="183">
        <f t="shared" si="4"/>
        <v>263.68909000000002</v>
      </c>
      <c r="AE13" s="187">
        <f t="shared" si="5"/>
        <v>59.489090000000004</v>
      </c>
      <c r="AF13" s="154" t="s">
        <v>84</v>
      </c>
    </row>
    <row r="14" spans="1:32" x14ac:dyDescent="0.25">
      <c r="A14" s="4" t="s">
        <v>51</v>
      </c>
      <c r="B14" s="5">
        <v>0</v>
      </c>
      <c r="C14" s="6" t="s">
        <v>24</v>
      </c>
      <c r="D14" s="7">
        <v>0</v>
      </c>
      <c r="E14" s="5">
        <v>0</v>
      </c>
      <c r="F14" s="6" t="s">
        <v>24</v>
      </c>
      <c r="G14" s="7">
        <v>79.885999999999996</v>
      </c>
      <c r="H14" s="8">
        <f t="shared" si="0"/>
        <v>79.885999999999996</v>
      </c>
      <c r="I14" s="9"/>
      <c r="J14" s="9"/>
      <c r="K14" s="9">
        <v>74.48481000000001</v>
      </c>
      <c r="L14" s="9">
        <v>20.900229999999997</v>
      </c>
      <c r="M14" s="9">
        <v>202.64148500000002</v>
      </c>
      <c r="N14" s="10">
        <f t="shared" si="2"/>
        <v>298.02652499999999</v>
      </c>
      <c r="P14" s="4" t="s">
        <v>51</v>
      </c>
      <c r="Q14" s="5">
        <v>0</v>
      </c>
      <c r="R14" s="6" t="s">
        <v>24</v>
      </c>
      <c r="S14" s="7">
        <v>0</v>
      </c>
      <c r="T14" s="5">
        <v>0</v>
      </c>
      <c r="U14" s="6" t="s">
        <v>24</v>
      </c>
      <c r="V14" s="7">
        <v>79.885999999999996</v>
      </c>
      <c r="W14" s="8">
        <f t="shared" si="1"/>
        <v>79.885999999999996</v>
      </c>
      <c r="X14" s="9"/>
      <c r="Y14" s="9"/>
      <c r="Z14" s="9">
        <v>1.1000000000000001</v>
      </c>
      <c r="AA14" s="9">
        <v>0</v>
      </c>
      <c r="AB14" s="9">
        <v>261.2</v>
      </c>
      <c r="AC14" s="8">
        <f t="shared" si="3"/>
        <v>262.3</v>
      </c>
      <c r="AD14" s="183">
        <f t="shared" si="4"/>
        <v>298.02652499999999</v>
      </c>
      <c r="AE14" s="187">
        <f t="shared" si="5"/>
        <v>35.726524999999981</v>
      </c>
      <c r="AF14" s="154" t="s">
        <v>84</v>
      </c>
    </row>
    <row r="15" spans="1:32" x14ac:dyDescent="0.25">
      <c r="A15" s="4" t="s">
        <v>52</v>
      </c>
      <c r="B15" s="5">
        <v>0</v>
      </c>
      <c r="C15" s="6" t="s">
        <v>24</v>
      </c>
      <c r="D15" s="7">
        <v>0</v>
      </c>
      <c r="E15" s="5">
        <v>0</v>
      </c>
      <c r="F15" s="6" t="s">
        <v>24</v>
      </c>
      <c r="G15" s="7">
        <v>95.063999999999993</v>
      </c>
      <c r="H15" s="8">
        <f t="shared" si="0"/>
        <v>95.063999999999993</v>
      </c>
      <c r="I15" s="9"/>
      <c r="J15" s="9"/>
      <c r="K15" s="9">
        <v>50.607759999999992</v>
      </c>
      <c r="L15" s="9">
        <v>3.8449399999999994</v>
      </c>
      <c r="M15" s="9">
        <v>300.04487499999993</v>
      </c>
      <c r="N15" s="10">
        <f t="shared" si="2"/>
        <v>354.49757499999993</v>
      </c>
      <c r="P15" s="4" t="s">
        <v>52</v>
      </c>
      <c r="Q15" s="5">
        <v>0</v>
      </c>
      <c r="R15" s="6" t="s">
        <v>24</v>
      </c>
      <c r="S15" s="7">
        <v>0</v>
      </c>
      <c r="T15" s="5">
        <v>0</v>
      </c>
      <c r="U15" s="6" t="s">
        <v>24</v>
      </c>
      <c r="V15" s="7">
        <v>95.063999999999993</v>
      </c>
      <c r="W15" s="8">
        <f t="shared" si="1"/>
        <v>95.063999999999993</v>
      </c>
      <c r="X15" s="9"/>
      <c r="Y15" s="9"/>
      <c r="Z15" s="9">
        <v>158.1</v>
      </c>
      <c r="AA15" s="9">
        <v>0</v>
      </c>
      <c r="AB15" s="9">
        <v>214.7</v>
      </c>
      <c r="AC15" s="8">
        <f t="shared" si="3"/>
        <v>372.79999999999995</v>
      </c>
      <c r="AD15" s="183">
        <f t="shared" si="4"/>
        <v>354.49757499999993</v>
      </c>
      <c r="AE15" s="187">
        <f t="shared" si="5"/>
        <v>-18.302425000000028</v>
      </c>
      <c r="AF15" s="154" t="s">
        <v>84</v>
      </c>
    </row>
    <row r="16" spans="1:32" x14ac:dyDescent="0.25">
      <c r="A16" s="4" t="s">
        <v>53</v>
      </c>
      <c r="B16" s="5">
        <v>0</v>
      </c>
      <c r="C16" s="6" t="s">
        <v>24</v>
      </c>
      <c r="D16" s="7">
        <v>0</v>
      </c>
      <c r="E16" s="5">
        <v>0</v>
      </c>
      <c r="F16" s="6" t="s">
        <v>24</v>
      </c>
      <c r="G16" s="7">
        <v>39.270000000000003</v>
      </c>
      <c r="H16" s="8">
        <f t="shared" si="0"/>
        <v>39.270000000000003</v>
      </c>
      <c r="I16" s="9"/>
      <c r="J16" s="9"/>
      <c r="K16" s="9">
        <v>125.89562500000001</v>
      </c>
      <c r="L16" s="9">
        <v>61.488850000000006</v>
      </c>
      <c r="M16" s="9">
        <v>78.714399999999998</v>
      </c>
      <c r="N16" s="10">
        <f t="shared" si="2"/>
        <v>266.09887500000002</v>
      </c>
      <c r="P16" s="4" t="s">
        <v>53</v>
      </c>
      <c r="Q16" s="5">
        <v>0</v>
      </c>
      <c r="R16" s="6" t="s">
        <v>24</v>
      </c>
      <c r="S16" s="7">
        <v>0</v>
      </c>
      <c r="T16" s="5">
        <v>0</v>
      </c>
      <c r="U16" s="6" t="s">
        <v>24</v>
      </c>
      <c r="V16" s="7">
        <v>39.270000000000003</v>
      </c>
      <c r="W16" s="8">
        <f t="shared" si="1"/>
        <v>39.270000000000003</v>
      </c>
      <c r="X16" s="9"/>
      <c r="Y16" s="9"/>
      <c r="Z16" s="9">
        <v>84.6</v>
      </c>
      <c r="AA16" s="9">
        <v>0</v>
      </c>
      <c r="AB16" s="9">
        <v>88.5</v>
      </c>
      <c r="AC16" s="8">
        <f t="shared" si="3"/>
        <v>173.1</v>
      </c>
      <c r="AD16" s="183">
        <f t="shared" si="4"/>
        <v>266.09887500000002</v>
      </c>
      <c r="AE16" s="187">
        <f t="shared" si="5"/>
        <v>92.998875000000027</v>
      </c>
      <c r="AF16" s="154" t="s">
        <v>84</v>
      </c>
    </row>
    <row r="17" spans="1:32" x14ac:dyDescent="0.25">
      <c r="A17" s="4" t="s">
        <v>54</v>
      </c>
      <c r="B17" s="5">
        <v>0</v>
      </c>
      <c r="C17" s="6" t="s">
        <v>24</v>
      </c>
      <c r="D17" s="7">
        <v>0</v>
      </c>
      <c r="E17" s="5">
        <v>0</v>
      </c>
      <c r="F17" s="6" t="s">
        <v>24</v>
      </c>
      <c r="G17" s="7">
        <v>47.781999999999996</v>
      </c>
      <c r="H17" s="8">
        <f t="shared" si="0"/>
        <v>47.781999999999996</v>
      </c>
      <c r="I17" s="9"/>
      <c r="J17" s="9"/>
      <c r="K17" s="9">
        <v>65.474739999999997</v>
      </c>
      <c r="L17" s="9">
        <v>42.471889999999995</v>
      </c>
      <c r="M17" s="9">
        <v>81.824519999999978</v>
      </c>
      <c r="N17" s="10">
        <f t="shared" si="2"/>
        <v>189.77114999999998</v>
      </c>
      <c r="P17" s="4" t="s">
        <v>54</v>
      </c>
      <c r="Q17" s="5">
        <v>0</v>
      </c>
      <c r="R17" s="6" t="s">
        <v>24</v>
      </c>
      <c r="S17" s="7">
        <v>0</v>
      </c>
      <c r="T17" s="5">
        <v>0</v>
      </c>
      <c r="U17" s="6" t="s">
        <v>24</v>
      </c>
      <c r="V17" s="7">
        <v>47.781999999999996</v>
      </c>
      <c r="W17" s="8">
        <f t="shared" si="1"/>
        <v>47.781999999999996</v>
      </c>
      <c r="X17" s="9"/>
      <c r="Y17" s="9"/>
      <c r="Z17" s="9">
        <v>76</v>
      </c>
      <c r="AA17" s="9">
        <v>0</v>
      </c>
      <c r="AB17" s="9">
        <v>99.5</v>
      </c>
      <c r="AC17" s="8">
        <f t="shared" si="3"/>
        <v>175.5</v>
      </c>
      <c r="AD17" s="183">
        <f t="shared" si="4"/>
        <v>189.77114999999998</v>
      </c>
      <c r="AE17" s="187">
        <f t="shared" si="5"/>
        <v>14.271149999999977</v>
      </c>
      <c r="AF17" s="154" t="s">
        <v>84</v>
      </c>
    </row>
    <row r="18" spans="1:32" x14ac:dyDescent="0.25">
      <c r="A18" s="4" t="s">
        <v>55</v>
      </c>
      <c r="B18" s="5">
        <v>0</v>
      </c>
      <c r="C18" s="6" t="s">
        <v>24</v>
      </c>
      <c r="D18" s="7">
        <v>0</v>
      </c>
      <c r="E18" s="5">
        <v>0</v>
      </c>
      <c r="F18" s="6" t="s">
        <v>24</v>
      </c>
      <c r="G18" s="7">
        <v>125.664</v>
      </c>
      <c r="H18" s="8">
        <f t="shared" si="0"/>
        <v>125.664</v>
      </c>
      <c r="I18" s="9"/>
      <c r="J18" s="9"/>
      <c r="K18" s="9">
        <v>166.85772</v>
      </c>
      <c r="L18" s="9">
        <v>10.615239999999998</v>
      </c>
      <c r="M18" s="9">
        <v>698.15547999999978</v>
      </c>
      <c r="N18" s="10">
        <f t="shared" si="2"/>
        <v>875.62843999999973</v>
      </c>
      <c r="P18" s="4" t="s">
        <v>55</v>
      </c>
      <c r="Q18" s="5">
        <v>0</v>
      </c>
      <c r="R18" s="6" t="s">
        <v>24</v>
      </c>
      <c r="S18" s="7">
        <v>0</v>
      </c>
      <c r="T18" s="5">
        <v>0</v>
      </c>
      <c r="U18" s="6" t="s">
        <v>24</v>
      </c>
      <c r="V18" s="7">
        <v>125.664</v>
      </c>
      <c r="W18" s="8">
        <f t="shared" si="1"/>
        <v>125.664</v>
      </c>
      <c r="X18" s="9"/>
      <c r="Y18" s="9"/>
      <c r="Z18" s="9">
        <v>7.1</v>
      </c>
      <c r="AA18" s="9">
        <v>0</v>
      </c>
      <c r="AB18" s="9">
        <v>929</v>
      </c>
      <c r="AC18" s="8">
        <f t="shared" si="3"/>
        <v>936.1</v>
      </c>
      <c r="AD18" s="183">
        <f t="shared" si="4"/>
        <v>875.62843999999973</v>
      </c>
      <c r="AE18" s="187">
        <f t="shared" si="5"/>
        <v>-60.471560000000295</v>
      </c>
      <c r="AF18" s="154" t="s">
        <v>84</v>
      </c>
    </row>
    <row r="19" spans="1:32" x14ac:dyDescent="0.25">
      <c r="A19" s="4" t="s">
        <v>56</v>
      </c>
      <c r="B19" s="5">
        <v>0</v>
      </c>
      <c r="C19" s="6" t="s">
        <v>24</v>
      </c>
      <c r="D19" s="7">
        <v>0</v>
      </c>
      <c r="E19" s="5">
        <v>0</v>
      </c>
      <c r="F19" s="6" t="s">
        <v>24</v>
      </c>
      <c r="G19" s="7">
        <v>342.47500000000002</v>
      </c>
      <c r="H19" s="8">
        <f t="shared" si="0"/>
        <v>342.47500000000002</v>
      </c>
      <c r="I19" s="9"/>
      <c r="J19" s="9"/>
      <c r="K19" s="9">
        <v>1263.0216849999999</v>
      </c>
      <c r="L19" s="9">
        <v>361.95408999999995</v>
      </c>
      <c r="M19" s="9">
        <v>1360.4014</v>
      </c>
      <c r="N19" s="10">
        <f t="shared" si="2"/>
        <v>2985.3771749999996</v>
      </c>
      <c r="P19" s="4" t="s">
        <v>56</v>
      </c>
      <c r="Q19" s="5">
        <v>0</v>
      </c>
      <c r="R19" s="6" t="s">
        <v>24</v>
      </c>
      <c r="S19" s="7">
        <v>0</v>
      </c>
      <c r="T19" s="5">
        <v>0</v>
      </c>
      <c r="U19" s="6" t="s">
        <v>24</v>
      </c>
      <c r="V19" s="7">
        <v>342.47500000000002</v>
      </c>
      <c r="W19" s="8">
        <f t="shared" si="1"/>
        <v>342.47500000000002</v>
      </c>
      <c r="X19" s="9"/>
      <c r="Y19" s="9"/>
      <c r="Z19" s="9">
        <v>2474.6000000000004</v>
      </c>
      <c r="AA19" s="9">
        <v>0</v>
      </c>
      <c r="AB19" s="9">
        <v>819.6</v>
      </c>
      <c r="AC19" s="8">
        <f t="shared" si="3"/>
        <v>3294.2000000000003</v>
      </c>
      <c r="AD19" s="183">
        <f t="shared" si="4"/>
        <v>2985.3771749999996</v>
      </c>
      <c r="AE19" s="187">
        <f t="shared" si="5"/>
        <v>-308.82282500000065</v>
      </c>
      <c r="AF19" s="154" t="s">
        <v>84</v>
      </c>
    </row>
    <row r="20" spans="1:32" x14ac:dyDescent="0.25">
      <c r="A20" s="4" t="s">
        <v>88</v>
      </c>
      <c r="B20" s="5">
        <v>746</v>
      </c>
      <c r="C20" s="6" t="s">
        <v>24</v>
      </c>
      <c r="D20" s="7">
        <v>231</v>
      </c>
      <c r="E20" s="5">
        <v>746</v>
      </c>
      <c r="F20" s="6" t="s">
        <v>24</v>
      </c>
      <c r="G20" s="7">
        <v>289</v>
      </c>
      <c r="H20" s="8">
        <f t="shared" si="0"/>
        <v>58</v>
      </c>
      <c r="I20" s="9"/>
      <c r="J20" s="9"/>
      <c r="K20" s="9">
        <v>4605</v>
      </c>
      <c r="L20" s="9"/>
      <c r="M20" s="9"/>
      <c r="N20" s="10">
        <f t="shared" si="2"/>
        <v>4605</v>
      </c>
      <c r="P20" s="4" t="s">
        <v>88</v>
      </c>
      <c r="Q20" s="5">
        <v>746</v>
      </c>
      <c r="R20" s="6" t="s">
        <v>24</v>
      </c>
      <c r="S20" s="7">
        <v>176.19</v>
      </c>
      <c r="T20" s="5">
        <v>746</v>
      </c>
      <c r="U20" s="6" t="s">
        <v>24</v>
      </c>
      <c r="V20" s="7">
        <v>304.54000000000002</v>
      </c>
      <c r="W20" s="8">
        <f t="shared" si="1"/>
        <v>128.35000000009313</v>
      </c>
      <c r="X20" s="9"/>
      <c r="Y20" s="9"/>
      <c r="Z20" s="9">
        <v>8189.41</v>
      </c>
      <c r="AA20" s="9">
        <v>0</v>
      </c>
      <c r="AB20" s="9">
        <v>0</v>
      </c>
      <c r="AC20" s="8">
        <f t="shared" si="3"/>
        <v>8189.41</v>
      </c>
      <c r="AD20" s="183">
        <f t="shared" si="4"/>
        <v>4605</v>
      </c>
      <c r="AE20" s="187">
        <f t="shared" si="5"/>
        <v>-3584.41</v>
      </c>
      <c r="AF20" s="154" t="s">
        <v>89</v>
      </c>
    </row>
    <row r="21" spans="1:32" x14ac:dyDescent="0.25">
      <c r="A21" s="4" t="s">
        <v>88</v>
      </c>
      <c r="B21" s="5">
        <v>746</v>
      </c>
      <c r="C21" s="6" t="s">
        <v>24</v>
      </c>
      <c r="D21" s="7">
        <v>289</v>
      </c>
      <c r="E21" s="5">
        <v>746</v>
      </c>
      <c r="F21" s="6" t="s">
        <v>24</v>
      </c>
      <c r="G21" s="7">
        <v>309</v>
      </c>
      <c r="H21" s="8">
        <f t="shared" si="0"/>
        <v>20</v>
      </c>
      <c r="I21" s="9"/>
      <c r="J21" s="9"/>
      <c r="K21" s="9">
        <v>2635</v>
      </c>
      <c r="L21" s="9"/>
      <c r="M21" s="9"/>
      <c r="N21" s="10">
        <f t="shared" si="2"/>
        <v>2635</v>
      </c>
      <c r="P21" s="4" t="s">
        <v>88</v>
      </c>
      <c r="Q21" s="5">
        <v>746</v>
      </c>
      <c r="R21" s="6" t="s">
        <v>24</v>
      </c>
      <c r="S21" s="7">
        <v>335</v>
      </c>
      <c r="T21" s="5">
        <v>746</v>
      </c>
      <c r="U21" s="6" t="s">
        <v>24</v>
      </c>
      <c r="V21" s="7">
        <v>463.75</v>
      </c>
      <c r="W21" s="8">
        <f t="shared" si="1"/>
        <v>128.75</v>
      </c>
      <c r="X21" s="9"/>
      <c r="Y21" s="9"/>
      <c r="Z21" s="9">
        <v>8454.86</v>
      </c>
      <c r="AA21" s="9">
        <v>0</v>
      </c>
      <c r="AB21" s="9">
        <v>0</v>
      </c>
      <c r="AC21" s="8">
        <f t="shared" si="3"/>
        <v>8454.86</v>
      </c>
      <c r="AD21" s="183">
        <f t="shared" si="4"/>
        <v>2635</v>
      </c>
      <c r="AE21" s="187">
        <f t="shared" si="5"/>
        <v>-5819.8600000000006</v>
      </c>
      <c r="AF21" s="154" t="s">
        <v>89</v>
      </c>
    </row>
    <row r="22" spans="1:32" x14ac:dyDescent="0.25">
      <c r="A22" s="4" t="s">
        <v>88</v>
      </c>
      <c r="B22" s="5">
        <v>746</v>
      </c>
      <c r="C22" s="6" t="s">
        <v>24</v>
      </c>
      <c r="D22" s="7">
        <v>327</v>
      </c>
      <c r="E22" s="5">
        <v>746</v>
      </c>
      <c r="F22" s="6" t="s">
        <v>24</v>
      </c>
      <c r="G22" s="7">
        <v>347</v>
      </c>
      <c r="H22" s="8">
        <f t="shared" si="0"/>
        <v>20</v>
      </c>
      <c r="I22" s="9"/>
      <c r="J22" s="9"/>
      <c r="K22" s="9">
        <v>2540</v>
      </c>
      <c r="L22" s="9"/>
      <c r="M22" s="9"/>
      <c r="N22" s="10">
        <f t="shared" si="2"/>
        <v>2540</v>
      </c>
      <c r="P22" s="4" t="s">
        <v>88</v>
      </c>
      <c r="Q22" s="5">
        <v>746</v>
      </c>
      <c r="R22" s="6" t="s">
        <v>24</v>
      </c>
      <c r="S22" s="7">
        <v>327</v>
      </c>
      <c r="T22" s="5">
        <v>746</v>
      </c>
      <c r="U22" s="6" t="s">
        <v>24</v>
      </c>
      <c r="V22" s="7">
        <v>347</v>
      </c>
      <c r="W22" s="8">
        <f t="shared" si="1"/>
        <v>20</v>
      </c>
      <c r="X22" s="9"/>
      <c r="Y22" s="9"/>
      <c r="Z22" s="9">
        <v>0</v>
      </c>
      <c r="AA22" s="9">
        <v>0</v>
      </c>
      <c r="AB22" s="9">
        <v>0</v>
      </c>
      <c r="AC22" s="8">
        <f t="shared" si="3"/>
        <v>0</v>
      </c>
      <c r="AD22" s="183">
        <f t="shared" si="4"/>
        <v>2540</v>
      </c>
      <c r="AE22" s="187">
        <f t="shared" si="5"/>
        <v>2540</v>
      </c>
      <c r="AF22" s="154" t="s">
        <v>90</v>
      </c>
    </row>
    <row r="23" spans="1:32" ht="15.75" thickBot="1" x14ac:dyDescent="0.3">
      <c r="A23" s="4" t="s">
        <v>88</v>
      </c>
      <c r="B23" s="5">
        <v>746</v>
      </c>
      <c r="C23" s="6" t="s">
        <v>24</v>
      </c>
      <c r="D23" s="7">
        <v>347</v>
      </c>
      <c r="E23" s="5">
        <v>746</v>
      </c>
      <c r="F23" s="6" t="s">
        <v>24</v>
      </c>
      <c r="G23" s="7">
        <v>421</v>
      </c>
      <c r="H23" s="8">
        <f t="shared" si="0"/>
        <v>74</v>
      </c>
      <c r="I23" s="9"/>
      <c r="J23" s="9"/>
      <c r="K23" s="9">
        <v>9710</v>
      </c>
      <c r="L23" s="9"/>
      <c r="M23" s="9"/>
      <c r="N23" s="10">
        <f t="shared" si="2"/>
        <v>9710</v>
      </c>
      <c r="P23" s="4" t="s">
        <v>88</v>
      </c>
      <c r="Q23" s="5">
        <v>746</v>
      </c>
      <c r="R23" s="6" t="s">
        <v>24</v>
      </c>
      <c r="S23" s="7">
        <v>347</v>
      </c>
      <c r="T23" s="5">
        <v>746</v>
      </c>
      <c r="U23" s="6" t="s">
        <v>24</v>
      </c>
      <c r="V23" s="7">
        <v>421</v>
      </c>
      <c r="W23" s="8">
        <f t="shared" si="1"/>
        <v>74</v>
      </c>
      <c r="X23" s="9"/>
      <c r="Y23" s="9"/>
      <c r="Z23" s="9">
        <v>0</v>
      </c>
      <c r="AA23" s="9">
        <v>0</v>
      </c>
      <c r="AB23" s="9">
        <v>0</v>
      </c>
      <c r="AC23" s="8">
        <f t="shared" si="3"/>
        <v>0</v>
      </c>
      <c r="AD23" s="190">
        <f t="shared" si="4"/>
        <v>9710</v>
      </c>
      <c r="AE23" s="191">
        <f t="shared" si="5"/>
        <v>9710</v>
      </c>
      <c r="AF23" s="154" t="s">
        <v>90</v>
      </c>
    </row>
    <row r="24" spans="1:32" ht="15.75" thickBot="1" x14ac:dyDescent="0.3">
      <c r="A24" s="11" t="str">
        <f>"TOTAL - "&amp;A6</f>
        <v>TOTAL - INTERSEÇÃO - km 746+320</v>
      </c>
      <c r="B24" s="12"/>
      <c r="C24" s="12"/>
      <c r="D24" s="12"/>
      <c r="E24" s="12"/>
      <c r="F24" s="12"/>
      <c r="G24" s="12"/>
      <c r="H24" s="12"/>
      <c r="I24" s="13">
        <f>SUM(I7:I19)</f>
        <v>0</v>
      </c>
      <c r="J24" s="13">
        <f>SUM(J7:J19)</f>
        <v>0</v>
      </c>
      <c r="K24" s="13">
        <f>SUM(K7:K23)</f>
        <v>72186.347410000046</v>
      </c>
      <c r="L24" s="13">
        <f>SUM(L7:L19)</f>
        <v>7568.8176650000059</v>
      </c>
      <c r="M24" s="13">
        <f>SUM(M7:M19)</f>
        <v>5570.9522999999708</v>
      </c>
      <c r="N24" s="13">
        <f>(K24+L24+M24)</f>
        <v>85326.117375000031</v>
      </c>
      <c r="P24" s="11" t="str">
        <f>"TOTAL - "&amp;P6</f>
        <v>TOTAL - INTERSEÇÃO - km 746+320</v>
      </c>
      <c r="Q24" s="12"/>
      <c r="R24" s="12"/>
      <c r="S24" s="12"/>
      <c r="T24" s="12"/>
      <c r="U24" s="12"/>
      <c r="V24" s="12"/>
      <c r="W24" s="12"/>
      <c r="X24" s="13">
        <f>SUM(X7:X19)</f>
        <v>0</v>
      </c>
      <c r="Y24" s="13">
        <f>SUM(Y7:Y19)</f>
        <v>0</v>
      </c>
      <c r="Z24" s="13">
        <f>SUM(Z7:Z23)</f>
        <v>71269.27</v>
      </c>
      <c r="AA24" s="13">
        <f>SUM(AA7:AA19)</f>
        <v>0</v>
      </c>
      <c r="AB24" s="13">
        <f>SUM(AB7:AB20)</f>
        <v>5176.9000000000005</v>
      </c>
      <c r="AC24" s="13">
        <f>(Z24+AA24+AB24)</f>
        <v>76446.17</v>
      </c>
      <c r="AD24" s="194">
        <f t="shared" si="4"/>
        <v>85326.117375000031</v>
      </c>
      <c r="AE24" s="195">
        <f>AD24-AC24</f>
        <v>8879.9473750000325</v>
      </c>
      <c r="AF24" s="189"/>
    </row>
    <row r="25" spans="1:32" ht="15.75" thickBot="1" x14ac:dyDescent="0.3">
      <c r="A25" s="220" t="s">
        <v>91</v>
      </c>
      <c r="B25" s="221"/>
      <c r="C25" s="221"/>
      <c r="D25" s="221"/>
      <c r="E25" s="221"/>
      <c r="F25" s="221"/>
      <c r="G25" s="221"/>
      <c r="H25" s="221"/>
      <c r="I25" s="221"/>
      <c r="J25" s="221"/>
      <c r="K25" s="221"/>
      <c r="L25" s="221"/>
      <c r="M25" s="221"/>
      <c r="N25" s="222"/>
      <c r="P25" s="220" t="s">
        <v>91</v>
      </c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1"/>
      <c r="AB25" s="221"/>
      <c r="AC25" s="222"/>
      <c r="AD25" s="192">
        <f t="shared" si="4"/>
        <v>0</v>
      </c>
      <c r="AE25" s="193">
        <f t="shared" si="5"/>
        <v>0</v>
      </c>
      <c r="AF25" s="154"/>
    </row>
    <row r="26" spans="1:32" x14ac:dyDescent="0.25">
      <c r="A26" s="4" t="s">
        <v>61</v>
      </c>
      <c r="B26" s="5">
        <v>746</v>
      </c>
      <c r="C26" s="6" t="s">
        <v>24</v>
      </c>
      <c r="D26" s="35">
        <v>635</v>
      </c>
      <c r="E26" s="5">
        <v>746</v>
      </c>
      <c r="F26" s="6" t="s">
        <v>24</v>
      </c>
      <c r="G26" s="7">
        <v>984.98499999998603</v>
      </c>
      <c r="H26" s="8">
        <f t="shared" ref="H26:H37" si="6">(E26*1000+G26)-(B26*1000+D26)</f>
        <v>349.98499999998603</v>
      </c>
      <c r="I26" s="9"/>
      <c r="J26" s="9"/>
      <c r="K26" s="9">
        <v>276.0392149999912</v>
      </c>
      <c r="L26" s="9">
        <v>12.300269999997692</v>
      </c>
      <c r="M26" s="9">
        <v>875.53874999998368</v>
      </c>
      <c r="N26" s="10">
        <f t="shared" ref="N26:N37" si="7">(K26+L26+M26)</f>
        <v>1163.8782349999726</v>
      </c>
      <c r="P26" s="4" t="s">
        <v>61</v>
      </c>
      <c r="Q26" s="5">
        <v>746</v>
      </c>
      <c r="R26" s="6" t="s">
        <v>24</v>
      </c>
      <c r="S26" s="35">
        <v>635</v>
      </c>
      <c r="T26" s="5">
        <v>746</v>
      </c>
      <c r="U26" s="6" t="s">
        <v>24</v>
      </c>
      <c r="V26" s="7">
        <v>984.98499999998603</v>
      </c>
      <c r="W26" s="8">
        <f t="shared" ref="W26:W37" si="8">(T26*1000+V26)-(Q26*1000+S26)</f>
        <v>349.98499999998603</v>
      </c>
      <c r="X26" s="9"/>
      <c r="Y26" s="9"/>
      <c r="Z26" s="9">
        <v>24.5</v>
      </c>
      <c r="AA26" s="9">
        <v>0</v>
      </c>
      <c r="AB26" s="9">
        <v>1187.5999999999999</v>
      </c>
      <c r="AC26" s="8">
        <f t="shared" ref="AC26:AC37" si="9">(Z26+AA26+AB26)</f>
        <v>1212.0999999999999</v>
      </c>
      <c r="AD26" s="188">
        <f t="shared" ref="AD26:AD27" si="10">N26</f>
        <v>1163.8782349999726</v>
      </c>
      <c r="AE26" s="187">
        <f t="shared" si="5"/>
        <v>-48.22176500002729</v>
      </c>
      <c r="AF26" s="154" t="s">
        <v>84</v>
      </c>
    </row>
    <row r="27" spans="1:32" x14ac:dyDescent="0.25">
      <c r="A27" s="4" t="s">
        <v>92</v>
      </c>
      <c r="B27" s="5">
        <v>745</v>
      </c>
      <c r="C27" s="6" t="s">
        <v>24</v>
      </c>
      <c r="D27" s="35">
        <v>500</v>
      </c>
      <c r="E27" s="5">
        <v>746</v>
      </c>
      <c r="F27" s="6" t="s">
        <v>24</v>
      </c>
      <c r="G27" s="7">
        <v>234.91299999994226</v>
      </c>
      <c r="H27" s="8">
        <f t="shared" si="6"/>
        <v>734.91299999994226</v>
      </c>
      <c r="I27" s="9"/>
      <c r="J27" s="8"/>
      <c r="K27" s="8">
        <v>1186.5332999998234</v>
      </c>
      <c r="L27" s="8">
        <v>59.842384999993968</v>
      </c>
      <c r="M27" s="8">
        <v>3199.101319999726</v>
      </c>
      <c r="N27" s="10">
        <f t="shared" si="7"/>
        <v>4445.4770049995432</v>
      </c>
      <c r="P27" s="4" t="s">
        <v>92</v>
      </c>
      <c r="Q27" s="5">
        <v>745</v>
      </c>
      <c r="R27" s="6" t="s">
        <v>24</v>
      </c>
      <c r="S27" s="35">
        <v>500</v>
      </c>
      <c r="T27" s="5">
        <v>746</v>
      </c>
      <c r="U27" s="6" t="s">
        <v>24</v>
      </c>
      <c r="V27" s="7">
        <v>234.91299999994226</v>
      </c>
      <c r="W27" s="8">
        <f t="shared" si="8"/>
        <v>734.91299999994226</v>
      </c>
      <c r="X27" s="9"/>
      <c r="Y27" s="8"/>
      <c r="Z27" s="8">
        <v>270</v>
      </c>
      <c r="AA27" s="8">
        <v>0</v>
      </c>
      <c r="AB27" s="8">
        <v>2741.9</v>
      </c>
      <c r="AC27" s="8">
        <f t="shared" si="9"/>
        <v>3011.9</v>
      </c>
      <c r="AD27" s="188">
        <f t="shared" si="10"/>
        <v>4445.4770049995432</v>
      </c>
      <c r="AE27" s="187">
        <f t="shared" si="5"/>
        <v>1433.5770049995431</v>
      </c>
      <c r="AF27" s="154" t="s">
        <v>83</v>
      </c>
    </row>
    <row r="28" spans="1:32" x14ac:dyDescent="0.25">
      <c r="A28" s="4" t="s">
        <v>93</v>
      </c>
      <c r="B28" s="5">
        <v>746</v>
      </c>
      <c r="C28" s="6" t="s">
        <v>24</v>
      </c>
      <c r="D28" s="35">
        <v>390</v>
      </c>
      <c r="E28" s="5">
        <v>747</v>
      </c>
      <c r="F28" s="6" t="s">
        <v>24</v>
      </c>
      <c r="G28" s="7">
        <v>569.46999999997206</v>
      </c>
      <c r="H28" s="8">
        <f t="shared" si="6"/>
        <v>1179.4699999999721</v>
      </c>
      <c r="I28" s="9"/>
      <c r="J28" s="8"/>
      <c r="K28" s="8">
        <v>1860.9287949999846</v>
      </c>
      <c r="L28" s="8">
        <v>144.91239499999327</v>
      </c>
      <c r="M28" s="8">
        <v>5128.2062149999656</v>
      </c>
      <c r="N28" s="10">
        <f t="shared" si="7"/>
        <v>7134.047404999943</v>
      </c>
      <c r="P28" s="4" t="s">
        <v>93</v>
      </c>
      <c r="Q28" s="5">
        <v>746</v>
      </c>
      <c r="R28" s="6" t="s">
        <v>24</v>
      </c>
      <c r="S28" s="35">
        <v>390</v>
      </c>
      <c r="T28" s="5">
        <v>747</v>
      </c>
      <c r="U28" s="6" t="s">
        <v>24</v>
      </c>
      <c r="V28" s="7">
        <v>569.46999999997206</v>
      </c>
      <c r="W28" s="8">
        <f t="shared" si="8"/>
        <v>1179.4699999999721</v>
      </c>
      <c r="X28" s="9"/>
      <c r="Y28" s="8"/>
      <c r="Z28" s="8">
        <v>514.70000000000005</v>
      </c>
      <c r="AA28" s="8">
        <v>0</v>
      </c>
      <c r="AB28" s="8">
        <v>6401.6</v>
      </c>
      <c r="AC28" s="8">
        <f t="shared" si="9"/>
        <v>6916.3</v>
      </c>
      <c r="AD28" s="188">
        <f>N28</f>
        <v>7134.047404999943</v>
      </c>
      <c r="AE28" s="187">
        <f>AD28-AC28</f>
        <v>217.74740499994277</v>
      </c>
      <c r="AF28" s="154" t="s">
        <v>84</v>
      </c>
    </row>
    <row r="29" spans="1:32" x14ac:dyDescent="0.25">
      <c r="A29" s="4" t="s">
        <v>94</v>
      </c>
      <c r="B29" s="5">
        <v>0</v>
      </c>
      <c r="C29" s="6" t="s">
        <v>24</v>
      </c>
      <c r="D29" s="35">
        <v>0</v>
      </c>
      <c r="E29" s="5">
        <v>0</v>
      </c>
      <c r="F29" s="6" t="s">
        <v>24</v>
      </c>
      <c r="G29" s="7">
        <v>21.09</v>
      </c>
      <c r="H29" s="8">
        <f t="shared" si="6"/>
        <v>21.09</v>
      </c>
      <c r="I29" s="9"/>
      <c r="J29" s="8"/>
      <c r="K29" s="8">
        <v>9.4431999999999992</v>
      </c>
      <c r="L29" s="8">
        <v>3.0000000000000027E-2</v>
      </c>
      <c r="M29" s="8">
        <v>97.838125000000005</v>
      </c>
      <c r="N29" s="10">
        <f t="shared" si="7"/>
        <v>107.31132500000001</v>
      </c>
      <c r="P29" s="4" t="s">
        <v>94</v>
      </c>
      <c r="Q29" s="5">
        <v>0</v>
      </c>
      <c r="R29" s="6" t="s">
        <v>24</v>
      </c>
      <c r="S29" s="35">
        <v>0</v>
      </c>
      <c r="T29" s="5">
        <v>0</v>
      </c>
      <c r="U29" s="6" t="s">
        <v>24</v>
      </c>
      <c r="V29" s="7">
        <v>21.09</v>
      </c>
      <c r="W29" s="8">
        <f t="shared" si="8"/>
        <v>21.09</v>
      </c>
      <c r="X29" s="9"/>
      <c r="Y29" s="8"/>
      <c r="Z29" s="8">
        <v>9.4431999999999992</v>
      </c>
      <c r="AA29" s="8">
        <v>0</v>
      </c>
      <c r="AB29" s="8">
        <v>97.838125000000005</v>
      </c>
      <c r="AC29" s="8">
        <f t="shared" si="9"/>
        <v>107.28132500000001</v>
      </c>
      <c r="AD29" s="188">
        <f t="shared" ref="AD29:AD38" si="11">N29</f>
        <v>107.31132500000001</v>
      </c>
      <c r="AE29" s="187">
        <f t="shared" ref="AE29:AE37" si="12">AD29-AC29</f>
        <v>3.0000000000001137E-2</v>
      </c>
      <c r="AF29" s="154" t="s">
        <v>84</v>
      </c>
    </row>
    <row r="30" spans="1:32" x14ac:dyDescent="0.25">
      <c r="A30" s="4" t="s">
        <v>95</v>
      </c>
      <c r="B30" s="5">
        <v>0</v>
      </c>
      <c r="C30" s="6" t="s">
        <v>24</v>
      </c>
      <c r="D30" s="35">
        <v>0</v>
      </c>
      <c r="E30" s="5">
        <v>0</v>
      </c>
      <c r="F30" s="6" t="s">
        <v>24</v>
      </c>
      <c r="G30" s="7">
        <v>28.027000000000001</v>
      </c>
      <c r="H30" s="8">
        <f t="shared" si="6"/>
        <v>28.027000000000001</v>
      </c>
      <c r="I30" s="9"/>
      <c r="J30" s="8"/>
      <c r="K30" s="8">
        <v>37.210260000000005</v>
      </c>
      <c r="L30" s="8">
        <v>0.61936999999999953</v>
      </c>
      <c r="M30" s="8">
        <v>98.880469999999988</v>
      </c>
      <c r="N30" s="10">
        <f t="shared" si="7"/>
        <v>136.71009999999998</v>
      </c>
      <c r="P30" s="4" t="s">
        <v>95</v>
      </c>
      <c r="Q30" s="5">
        <v>0</v>
      </c>
      <c r="R30" s="6" t="s">
        <v>24</v>
      </c>
      <c r="S30" s="35">
        <v>0</v>
      </c>
      <c r="T30" s="5">
        <v>0</v>
      </c>
      <c r="U30" s="6" t="s">
        <v>24</v>
      </c>
      <c r="V30" s="7">
        <v>28.027000000000001</v>
      </c>
      <c r="W30" s="8">
        <f t="shared" si="8"/>
        <v>28.027000000000001</v>
      </c>
      <c r="X30" s="9"/>
      <c r="Y30" s="8"/>
      <c r="Z30" s="8">
        <v>0</v>
      </c>
      <c r="AA30" s="8">
        <v>0</v>
      </c>
      <c r="AB30" s="8">
        <v>108</v>
      </c>
      <c r="AC30" s="8">
        <f t="shared" si="9"/>
        <v>108</v>
      </c>
      <c r="AD30" s="188">
        <f t="shared" si="11"/>
        <v>136.71009999999998</v>
      </c>
      <c r="AE30" s="187">
        <f t="shared" si="12"/>
        <v>28.710099999999983</v>
      </c>
      <c r="AF30" s="154" t="s">
        <v>84</v>
      </c>
    </row>
    <row r="31" spans="1:32" x14ac:dyDescent="0.25">
      <c r="A31" s="4" t="s">
        <v>96</v>
      </c>
      <c r="B31" s="5">
        <v>0</v>
      </c>
      <c r="C31" s="6" t="s">
        <v>24</v>
      </c>
      <c r="D31" s="35">
        <v>0</v>
      </c>
      <c r="E31" s="5">
        <v>0</v>
      </c>
      <c r="F31" s="6" t="s">
        <v>24</v>
      </c>
      <c r="G31" s="7">
        <v>30.798999999999999</v>
      </c>
      <c r="H31" s="8">
        <f t="shared" si="6"/>
        <v>30.798999999999999</v>
      </c>
      <c r="I31" s="9"/>
      <c r="J31" s="8"/>
      <c r="K31" s="8">
        <v>5.0579600000000005</v>
      </c>
      <c r="L31" s="8">
        <v>84.696569999999994</v>
      </c>
      <c r="M31" s="8">
        <v>215.24771999999999</v>
      </c>
      <c r="N31" s="10">
        <f t="shared" si="7"/>
        <v>305.00225</v>
      </c>
      <c r="P31" s="4" t="s">
        <v>96</v>
      </c>
      <c r="Q31" s="5">
        <v>0</v>
      </c>
      <c r="R31" s="6" t="s">
        <v>24</v>
      </c>
      <c r="S31" s="35">
        <v>0</v>
      </c>
      <c r="T31" s="5">
        <v>0</v>
      </c>
      <c r="U31" s="6" t="s">
        <v>24</v>
      </c>
      <c r="V31" s="7">
        <v>30.798999999999999</v>
      </c>
      <c r="W31" s="8">
        <f t="shared" si="8"/>
        <v>30.798999999999999</v>
      </c>
      <c r="X31" s="9"/>
      <c r="Y31" s="8"/>
      <c r="Z31" s="8">
        <v>0</v>
      </c>
      <c r="AA31" s="8">
        <v>0</v>
      </c>
      <c r="AB31" s="8">
        <v>164.8</v>
      </c>
      <c r="AC31" s="8">
        <f t="shared" si="9"/>
        <v>164.8</v>
      </c>
      <c r="AD31" s="188">
        <f t="shared" si="11"/>
        <v>305.00225</v>
      </c>
      <c r="AE31" s="187">
        <f t="shared" si="12"/>
        <v>140.20224999999999</v>
      </c>
      <c r="AF31" s="154" t="s">
        <v>84</v>
      </c>
    </row>
    <row r="32" spans="1:32" x14ac:dyDescent="0.25">
      <c r="A32" s="4" t="s">
        <v>97</v>
      </c>
      <c r="B32" s="5">
        <v>0</v>
      </c>
      <c r="C32" s="6" t="s">
        <v>24</v>
      </c>
      <c r="D32" s="35">
        <v>0</v>
      </c>
      <c r="E32" s="5">
        <v>0</v>
      </c>
      <c r="F32" s="6" t="s">
        <v>24</v>
      </c>
      <c r="G32" s="7">
        <v>40.738</v>
      </c>
      <c r="H32" s="8">
        <f t="shared" si="6"/>
        <v>40.738</v>
      </c>
      <c r="I32" s="9"/>
      <c r="J32" s="8"/>
      <c r="K32" s="8">
        <v>15.291099999999998</v>
      </c>
      <c r="L32" s="8">
        <v>0.21195999999999965</v>
      </c>
      <c r="M32" s="8">
        <v>130.89333999999999</v>
      </c>
      <c r="N32" s="10">
        <f t="shared" si="7"/>
        <v>146.3964</v>
      </c>
      <c r="P32" s="4" t="s">
        <v>97</v>
      </c>
      <c r="Q32" s="5">
        <v>0</v>
      </c>
      <c r="R32" s="6" t="s">
        <v>24</v>
      </c>
      <c r="S32" s="35">
        <v>0</v>
      </c>
      <c r="T32" s="5">
        <v>0</v>
      </c>
      <c r="U32" s="6" t="s">
        <v>24</v>
      </c>
      <c r="V32" s="7">
        <v>40.738</v>
      </c>
      <c r="W32" s="8">
        <f t="shared" si="8"/>
        <v>40.738</v>
      </c>
      <c r="X32" s="9"/>
      <c r="Y32" s="8"/>
      <c r="Z32" s="8">
        <v>2.7</v>
      </c>
      <c r="AA32" s="8">
        <v>0</v>
      </c>
      <c r="AB32" s="8">
        <v>119.2</v>
      </c>
      <c r="AC32" s="8">
        <f t="shared" si="9"/>
        <v>121.9</v>
      </c>
      <c r="AD32" s="188">
        <f t="shared" si="11"/>
        <v>146.3964</v>
      </c>
      <c r="AE32" s="187">
        <f t="shared" si="12"/>
        <v>24.496399999999994</v>
      </c>
      <c r="AF32" s="154" t="s">
        <v>84</v>
      </c>
    </row>
    <row r="33" spans="1:32" x14ac:dyDescent="0.25">
      <c r="A33" s="4" t="s">
        <v>98</v>
      </c>
      <c r="B33" s="5">
        <v>0</v>
      </c>
      <c r="C33" s="6" t="s">
        <v>24</v>
      </c>
      <c r="D33" s="35">
        <v>0</v>
      </c>
      <c r="E33" s="5">
        <v>0</v>
      </c>
      <c r="F33" s="6" t="s">
        <v>24</v>
      </c>
      <c r="G33" s="7">
        <v>29.472000000000001</v>
      </c>
      <c r="H33" s="8">
        <f t="shared" si="6"/>
        <v>29.472000000000001</v>
      </c>
      <c r="I33" s="9"/>
      <c r="J33" s="8"/>
      <c r="K33" s="8">
        <v>0.53159999999999996</v>
      </c>
      <c r="L33" s="8">
        <v>0</v>
      </c>
      <c r="M33" s="8">
        <v>111.68340000000002</v>
      </c>
      <c r="N33" s="10">
        <f t="shared" si="7"/>
        <v>112.21500000000002</v>
      </c>
      <c r="P33" s="4" t="s">
        <v>98</v>
      </c>
      <c r="Q33" s="5">
        <v>0</v>
      </c>
      <c r="R33" s="6" t="s">
        <v>24</v>
      </c>
      <c r="S33" s="35">
        <v>0</v>
      </c>
      <c r="T33" s="5">
        <v>0</v>
      </c>
      <c r="U33" s="6" t="s">
        <v>24</v>
      </c>
      <c r="V33" s="7">
        <v>29.472000000000001</v>
      </c>
      <c r="W33" s="8">
        <f t="shared" si="8"/>
        <v>29.472000000000001</v>
      </c>
      <c r="X33" s="9"/>
      <c r="Y33" s="8"/>
      <c r="Z33" s="8">
        <v>0</v>
      </c>
      <c r="AA33" s="8">
        <v>0</v>
      </c>
      <c r="AB33" s="8">
        <v>125</v>
      </c>
      <c r="AC33" s="8">
        <f t="shared" si="9"/>
        <v>125</v>
      </c>
      <c r="AD33" s="188">
        <f t="shared" si="11"/>
        <v>112.21500000000002</v>
      </c>
      <c r="AE33" s="187">
        <f t="shared" si="12"/>
        <v>-12.784999999999982</v>
      </c>
      <c r="AF33" s="154" t="s">
        <v>84</v>
      </c>
    </row>
    <row r="34" spans="1:32" x14ac:dyDescent="0.25">
      <c r="A34" s="4" t="s">
        <v>69</v>
      </c>
      <c r="B34" s="5">
        <v>746</v>
      </c>
      <c r="C34" s="6" t="s">
        <v>24</v>
      </c>
      <c r="D34" s="35">
        <v>610</v>
      </c>
      <c r="E34" s="5">
        <v>746</v>
      </c>
      <c r="F34" s="6" t="s">
        <v>24</v>
      </c>
      <c r="G34" s="7">
        <v>853.1600000000326</v>
      </c>
      <c r="H34" s="8">
        <f t="shared" si="6"/>
        <v>243.1600000000326</v>
      </c>
      <c r="I34" s="9"/>
      <c r="J34" s="8"/>
      <c r="K34" s="8">
        <v>676.82934000002103</v>
      </c>
      <c r="L34" s="8">
        <v>149.76863000000895</v>
      </c>
      <c r="M34" s="8">
        <v>422.75738000003798</v>
      </c>
      <c r="N34" s="10">
        <f t="shared" si="7"/>
        <v>1249.355350000068</v>
      </c>
      <c r="P34" s="4" t="s">
        <v>69</v>
      </c>
      <c r="Q34" s="5">
        <v>746</v>
      </c>
      <c r="R34" s="6" t="s">
        <v>24</v>
      </c>
      <c r="S34" s="35">
        <v>610</v>
      </c>
      <c r="T34" s="5">
        <v>746</v>
      </c>
      <c r="U34" s="6" t="s">
        <v>24</v>
      </c>
      <c r="V34" s="7">
        <v>853.1600000000326</v>
      </c>
      <c r="W34" s="8">
        <f t="shared" si="8"/>
        <v>243.1600000000326</v>
      </c>
      <c r="X34" s="9"/>
      <c r="Y34" s="8"/>
      <c r="Z34" s="8">
        <v>327.8</v>
      </c>
      <c r="AA34" s="8">
        <v>0</v>
      </c>
      <c r="AB34" s="8">
        <v>571.1</v>
      </c>
      <c r="AC34" s="8">
        <f t="shared" si="9"/>
        <v>898.90000000000009</v>
      </c>
      <c r="AD34" s="188">
        <f t="shared" si="11"/>
        <v>1249.355350000068</v>
      </c>
      <c r="AE34" s="187">
        <f t="shared" si="12"/>
        <v>350.45535000006794</v>
      </c>
      <c r="AF34" s="154" t="s">
        <v>84</v>
      </c>
    </row>
    <row r="35" spans="1:32" x14ac:dyDescent="0.25">
      <c r="A35" s="4" t="s">
        <v>70</v>
      </c>
      <c r="B35" s="5">
        <v>746</v>
      </c>
      <c r="C35" s="6" t="s">
        <v>24</v>
      </c>
      <c r="D35" s="35">
        <v>520</v>
      </c>
      <c r="E35" s="5">
        <v>747</v>
      </c>
      <c r="F35" s="6" t="s">
        <v>24</v>
      </c>
      <c r="G35" s="7">
        <v>791.76599999994505</v>
      </c>
      <c r="H35" s="8">
        <f t="shared" si="6"/>
        <v>1271.7659999999451</v>
      </c>
      <c r="I35" s="9"/>
      <c r="J35" s="8"/>
      <c r="K35" s="8">
        <v>2946.4489100001197</v>
      </c>
      <c r="L35" s="8">
        <v>886.0285149999994</v>
      </c>
      <c r="M35" s="8">
        <v>4933.5773649998891</v>
      </c>
      <c r="N35" s="10">
        <f t="shared" si="7"/>
        <v>8766.0547900000092</v>
      </c>
      <c r="P35" s="4" t="s">
        <v>70</v>
      </c>
      <c r="Q35" s="5">
        <v>746</v>
      </c>
      <c r="R35" s="6" t="s">
        <v>24</v>
      </c>
      <c r="S35" s="35">
        <v>520</v>
      </c>
      <c r="T35" s="5">
        <v>747</v>
      </c>
      <c r="U35" s="6" t="s">
        <v>24</v>
      </c>
      <c r="V35" s="7">
        <v>791.76599999994505</v>
      </c>
      <c r="W35" s="8">
        <f t="shared" si="8"/>
        <v>1271.7659999999451</v>
      </c>
      <c r="X35" s="9"/>
      <c r="Y35" s="8"/>
      <c r="Z35" s="8">
        <v>1323.5</v>
      </c>
      <c r="AA35" s="8">
        <v>0</v>
      </c>
      <c r="AB35" s="8">
        <v>6259.4</v>
      </c>
      <c r="AC35" s="8">
        <f t="shared" si="9"/>
        <v>7582.9</v>
      </c>
      <c r="AD35" s="188">
        <f t="shared" si="11"/>
        <v>8766.0547900000092</v>
      </c>
      <c r="AE35" s="187">
        <f t="shared" si="12"/>
        <v>1183.1547900000096</v>
      </c>
      <c r="AF35" s="154" t="s">
        <v>84</v>
      </c>
    </row>
    <row r="36" spans="1:32" x14ac:dyDescent="0.25">
      <c r="A36" s="4" t="s">
        <v>99</v>
      </c>
      <c r="B36" s="5">
        <v>0</v>
      </c>
      <c r="C36" s="6" t="s">
        <v>24</v>
      </c>
      <c r="D36" s="35">
        <v>0</v>
      </c>
      <c r="E36" s="5">
        <v>0</v>
      </c>
      <c r="F36" s="6" t="s">
        <v>24</v>
      </c>
      <c r="G36" s="7">
        <v>40.015000000000001</v>
      </c>
      <c r="H36" s="8">
        <f t="shared" si="6"/>
        <v>40.015000000000001</v>
      </c>
      <c r="I36" s="9"/>
      <c r="J36" s="8"/>
      <c r="K36" s="8">
        <v>27.056830000000005</v>
      </c>
      <c r="L36" s="8">
        <v>0</v>
      </c>
      <c r="M36" s="8">
        <v>123.49229999999999</v>
      </c>
      <c r="N36" s="10">
        <f t="shared" si="7"/>
        <v>150.54912999999999</v>
      </c>
      <c r="P36" s="4" t="s">
        <v>99</v>
      </c>
      <c r="Q36" s="5">
        <v>0</v>
      </c>
      <c r="R36" s="6" t="s">
        <v>24</v>
      </c>
      <c r="S36" s="35">
        <v>0</v>
      </c>
      <c r="T36" s="5">
        <v>0</v>
      </c>
      <c r="U36" s="6" t="s">
        <v>24</v>
      </c>
      <c r="V36" s="7">
        <v>40.015000000000001</v>
      </c>
      <c r="W36" s="8">
        <f t="shared" si="8"/>
        <v>40.015000000000001</v>
      </c>
      <c r="X36" s="9"/>
      <c r="Y36" s="8"/>
      <c r="Z36" s="8">
        <v>0.1</v>
      </c>
      <c r="AA36" s="8">
        <v>0</v>
      </c>
      <c r="AB36" s="8">
        <v>146.30000000000001</v>
      </c>
      <c r="AC36" s="8">
        <f t="shared" si="9"/>
        <v>146.4</v>
      </c>
      <c r="AD36" s="188">
        <f t="shared" si="11"/>
        <v>150.54912999999999</v>
      </c>
      <c r="AE36" s="187">
        <f t="shared" si="12"/>
        <v>4.1491299999999853</v>
      </c>
      <c r="AF36" s="154" t="s">
        <v>84</v>
      </c>
    </row>
    <row r="37" spans="1:32" ht="15.75" thickBot="1" x14ac:dyDescent="0.3">
      <c r="A37" s="4" t="s">
        <v>100</v>
      </c>
      <c r="B37" s="5">
        <v>0</v>
      </c>
      <c r="C37" s="6" t="s">
        <v>24</v>
      </c>
      <c r="D37" s="35">
        <v>0</v>
      </c>
      <c r="E37" s="5">
        <v>0</v>
      </c>
      <c r="F37" s="6" t="s">
        <v>24</v>
      </c>
      <c r="G37" s="7">
        <v>40.609000000000002</v>
      </c>
      <c r="H37" s="8">
        <f t="shared" si="6"/>
        <v>40.609000000000002</v>
      </c>
      <c r="I37" s="9"/>
      <c r="J37" s="8"/>
      <c r="K37" s="8">
        <v>18.577835000000004</v>
      </c>
      <c r="L37" s="8">
        <v>4.5950000000000006</v>
      </c>
      <c r="M37" s="8">
        <v>120.62302000000001</v>
      </c>
      <c r="N37" s="10">
        <f t="shared" si="7"/>
        <v>143.79585500000002</v>
      </c>
      <c r="P37" s="4" t="s">
        <v>100</v>
      </c>
      <c r="Q37" s="5">
        <v>0</v>
      </c>
      <c r="R37" s="6" t="s">
        <v>24</v>
      </c>
      <c r="S37" s="35">
        <v>0</v>
      </c>
      <c r="T37" s="5">
        <v>0</v>
      </c>
      <c r="U37" s="6" t="s">
        <v>24</v>
      </c>
      <c r="V37" s="7">
        <v>40.609000000000002</v>
      </c>
      <c r="W37" s="8">
        <f t="shared" si="8"/>
        <v>40.609000000000002</v>
      </c>
      <c r="X37" s="9"/>
      <c r="Y37" s="8"/>
      <c r="Z37" s="8">
        <v>0</v>
      </c>
      <c r="AA37" s="8">
        <v>0</v>
      </c>
      <c r="AB37" s="8">
        <v>139.9</v>
      </c>
      <c r="AC37" s="8">
        <f t="shared" si="9"/>
        <v>139.9</v>
      </c>
      <c r="AD37" s="196">
        <f t="shared" si="11"/>
        <v>143.79585500000002</v>
      </c>
      <c r="AE37" s="191">
        <f t="shared" si="12"/>
        <v>3.8958550000000116</v>
      </c>
      <c r="AF37" s="154" t="s">
        <v>84</v>
      </c>
    </row>
    <row r="38" spans="1:32" ht="15.75" thickBot="1" x14ac:dyDescent="0.3">
      <c r="A38" s="11" t="str">
        <f>"TOTAL - "&amp;A25</f>
        <v>TOTAL - TRAVESSIA URBANA - SORRISO</v>
      </c>
      <c r="B38" s="12"/>
      <c r="C38" s="12"/>
      <c r="D38" s="12"/>
      <c r="E38" s="12"/>
      <c r="F38" s="12"/>
      <c r="G38" s="12"/>
      <c r="H38" s="12"/>
      <c r="I38" s="13">
        <f t="shared" ref="I38:N38" si="13">SUM(I26:I37)</f>
        <v>0</v>
      </c>
      <c r="J38" s="13">
        <f t="shared" si="13"/>
        <v>0</v>
      </c>
      <c r="K38" s="13">
        <f t="shared" si="13"/>
        <v>7059.9483449999398</v>
      </c>
      <c r="L38" s="13">
        <f t="shared" si="13"/>
        <v>1343.0050949999934</v>
      </c>
      <c r="M38" s="13">
        <f t="shared" si="13"/>
        <v>15457.839404999602</v>
      </c>
      <c r="N38" s="13">
        <f t="shared" si="13"/>
        <v>23860.792844999538</v>
      </c>
      <c r="P38" s="11" t="str">
        <f>"TOTAL - "&amp;P25</f>
        <v>TOTAL - TRAVESSIA URBANA - SORRISO</v>
      </c>
      <c r="Q38" s="12"/>
      <c r="R38" s="12"/>
      <c r="S38" s="12"/>
      <c r="T38" s="12"/>
      <c r="U38" s="12"/>
      <c r="V38" s="12"/>
      <c r="W38" s="12"/>
      <c r="X38" s="13">
        <f t="shared" ref="X38:AB38" si="14">SUM(X26:X37)</f>
        <v>0</v>
      </c>
      <c r="Y38" s="13">
        <f t="shared" si="14"/>
        <v>0</v>
      </c>
      <c r="Z38" s="13">
        <f t="shared" si="14"/>
        <v>2472.7432000000003</v>
      </c>
      <c r="AA38" s="13">
        <f t="shared" si="14"/>
        <v>0</v>
      </c>
      <c r="AB38" s="13">
        <f t="shared" si="14"/>
        <v>18062.638125000001</v>
      </c>
      <c r="AC38" s="13">
        <f>SUM(AC26:AC37)</f>
        <v>20535.381325000002</v>
      </c>
      <c r="AD38" s="194">
        <f t="shared" si="11"/>
        <v>23860.792844999538</v>
      </c>
      <c r="AE38" s="195">
        <f>AD38-AC38</f>
        <v>3325.4115199995358</v>
      </c>
      <c r="AF38" s="189"/>
    </row>
    <row r="39" spans="1:32" ht="15.75" thickBot="1" x14ac:dyDescent="0.3">
      <c r="A39" s="220" t="s">
        <v>38</v>
      </c>
      <c r="B39" s="221"/>
      <c r="C39" s="221"/>
      <c r="D39" s="221"/>
      <c r="E39" s="221"/>
      <c r="F39" s="221"/>
      <c r="G39" s="221"/>
      <c r="H39" s="221"/>
      <c r="I39" s="221"/>
      <c r="J39" s="221"/>
      <c r="K39" s="221"/>
      <c r="L39" s="221"/>
      <c r="M39" s="221"/>
      <c r="N39" s="222"/>
      <c r="P39" s="272" t="s">
        <v>38</v>
      </c>
      <c r="Q39" s="273"/>
      <c r="R39" s="273"/>
      <c r="S39" s="273"/>
      <c r="T39" s="273"/>
      <c r="U39" s="273"/>
      <c r="V39" s="273"/>
      <c r="W39" s="273"/>
      <c r="X39" s="273"/>
      <c r="Y39" s="273"/>
      <c r="Z39" s="273"/>
      <c r="AA39" s="273"/>
      <c r="AB39" s="273"/>
      <c r="AC39" s="274"/>
    </row>
    <row r="40" spans="1:32" x14ac:dyDescent="0.25">
      <c r="A40" s="4" t="s">
        <v>101</v>
      </c>
      <c r="B40" s="5">
        <v>755</v>
      </c>
      <c r="C40" s="6" t="s">
        <v>24</v>
      </c>
      <c r="D40" s="36">
        <v>45.912999999942258</v>
      </c>
      <c r="E40" s="5">
        <v>755</v>
      </c>
      <c r="F40" s="6" t="s">
        <v>24</v>
      </c>
      <c r="G40" s="36">
        <v>585.55500000005122</v>
      </c>
      <c r="H40" s="8">
        <f t="shared" ref="H40:H45" si="15">(E40*1000+G40)-(B40*1000+D40)</f>
        <v>539.64200000010896</v>
      </c>
      <c r="I40" s="9"/>
      <c r="J40" s="9"/>
      <c r="K40" s="9"/>
      <c r="L40" s="37">
        <v>167.50422200001313</v>
      </c>
      <c r="M40" s="9"/>
      <c r="N40" s="10">
        <f t="shared" ref="N40:N45" si="16">(K40+L40+M40)</f>
        <v>167.50422200001313</v>
      </c>
      <c r="P40" s="4" t="s">
        <v>101</v>
      </c>
      <c r="Q40" s="5">
        <v>755</v>
      </c>
      <c r="R40" s="6" t="s">
        <v>24</v>
      </c>
      <c r="S40" s="36">
        <v>45.912999999942258</v>
      </c>
      <c r="T40" s="5">
        <v>755</v>
      </c>
      <c r="U40" s="6" t="s">
        <v>24</v>
      </c>
      <c r="V40" s="36">
        <v>585.55500000005122</v>
      </c>
      <c r="W40" s="8">
        <f t="shared" ref="W40:W45" si="17">(T40*1000+V40)-(Q40*1000+S40)</f>
        <v>539.64200000010896</v>
      </c>
      <c r="X40" s="9"/>
      <c r="Y40" s="9"/>
      <c r="Z40" s="9"/>
      <c r="AA40" s="186">
        <v>167.50422200001313</v>
      </c>
      <c r="AB40" s="9"/>
      <c r="AC40" s="10">
        <f t="shared" ref="AC40:AC45" si="18">(Z40+AA40+AB40)</f>
        <v>167.50422200001313</v>
      </c>
    </row>
    <row r="41" spans="1:32" x14ac:dyDescent="0.25">
      <c r="A41" s="4" t="s">
        <v>101</v>
      </c>
      <c r="B41" s="5">
        <v>755</v>
      </c>
      <c r="C41" s="6" t="s">
        <v>24</v>
      </c>
      <c r="D41" s="36">
        <v>250</v>
      </c>
      <c r="E41" s="5">
        <v>755</v>
      </c>
      <c r="F41" s="6" t="s">
        <v>24</v>
      </c>
      <c r="G41" s="36">
        <v>250</v>
      </c>
      <c r="H41" s="8">
        <f t="shared" si="15"/>
        <v>0</v>
      </c>
      <c r="I41" s="9"/>
      <c r="J41" s="8"/>
      <c r="K41" s="8"/>
      <c r="L41" s="37">
        <v>48.184557999999996</v>
      </c>
      <c r="M41" s="8"/>
      <c r="N41" s="10">
        <f t="shared" si="16"/>
        <v>48.184557999999996</v>
      </c>
      <c r="P41" s="4" t="s">
        <v>101</v>
      </c>
      <c r="Q41" s="5">
        <v>755</v>
      </c>
      <c r="R41" s="6" t="s">
        <v>24</v>
      </c>
      <c r="S41" s="36">
        <v>250</v>
      </c>
      <c r="T41" s="5">
        <v>755</v>
      </c>
      <c r="U41" s="6" t="s">
        <v>24</v>
      </c>
      <c r="V41" s="36">
        <v>250</v>
      </c>
      <c r="W41" s="8">
        <f t="shared" si="17"/>
        <v>0</v>
      </c>
      <c r="X41" s="9"/>
      <c r="Y41" s="8"/>
      <c r="Z41" s="8"/>
      <c r="AA41" s="186">
        <v>48.184557999999996</v>
      </c>
      <c r="AB41" s="8"/>
      <c r="AC41" s="10">
        <f t="shared" si="18"/>
        <v>48.184557999999996</v>
      </c>
    </row>
    <row r="42" spans="1:32" x14ac:dyDescent="0.25">
      <c r="A42" s="4" t="s">
        <v>101</v>
      </c>
      <c r="B42" s="5">
        <v>755</v>
      </c>
      <c r="C42" s="6" t="s">
        <v>24</v>
      </c>
      <c r="D42" s="36">
        <v>250</v>
      </c>
      <c r="E42" s="5">
        <v>755</v>
      </c>
      <c r="F42" s="6" t="s">
        <v>24</v>
      </c>
      <c r="G42" s="36">
        <v>250</v>
      </c>
      <c r="H42" s="8">
        <f t="shared" si="15"/>
        <v>0</v>
      </c>
      <c r="I42" s="9"/>
      <c r="J42" s="8"/>
      <c r="K42" s="8"/>
      <c r="L42" s="37">
        <v>53.197348000000012</v>
      </c>
      <c r="M42" s="8"/>
      <c r="N42" s="10">
        <f t="shared" si="16"/>
        <v>53.197348000000012</v>
      </c>
      <c r="P42" s="4" t="s">
        <v>101</v>
      </c>
      <c r="Q42" s="5">
        <v>755</v>
      </c>
      <c r="R42" s="6" t="s">
        <v>24</v>
      </c>
      <c r="S42" s="36">
        <v>250</v>
      </c>
      <c r="T42" s="5">
        <v>755</v>
      </c>
      <c r="U42" s="6" t="s">
        <v>24</v>
      </c>
      <c r="V42" s="36">
        <v>250</v>
      </c>
      <c r="W42" s="8">
        <f t="shared" si="17"/>
        <v>0</v>
      </c>
      <c r="X42" s="9"/>
      <c r="Y42" s="8"/>
      <c r="Z42" s="8"/>
      <c r="AA42" s="186">
        <v>53.197348000000012</v>
      </c>
      <c r="AB42" s="8"/>
      <c r="AC42" s="10">
        <f t="shared" si="18"/>
        <v>53.197348000000012</v>
      </c>
    </row>
    <row r="43" spans="1:32" x14ac:dyDescent="0.25">
      <c r="A43" s="4" t="s">
        <v>101</v>
      </c>
      <c r="B43" s="5">
        <v>755</v>
      </c>
      <c r="C43" s="6" t="s">
        <v>24</v>
      </c>
      <c r="D43" s="36">
        <v>45.912999999942258</v>
      </c>
      <c r="E43" s="5">
        <v>755</v>
      </c>
      <c r="F43" s="6" t="s">
        <v>24</v>
      </c>
      <c r="G43" s="36">
        <v>585.55500000005122</v>
      </c>
      <c r="H43" s="8">
        <f t="shared" si="15"/>
        <v>539.64200000010896</v>
      </c>
      <c r="I43" s="9"/>
      <c r="J43" s="8"/>
      <c r="K43" s="8"/>
      <c r="L43" s="37">
        <v>670.01688800005275</v>
      </c>
      <c r="M43" s="8"/>
      <c r="N43" s="10">
        <f t="shared" si="16"/>
        <v>670.01688800005275</v>
      </c>
      <c r="P43" s="4" t="s">
        <v>101</v>
      </c>
      <c r="Q43" s="5">
        <v>755</v>
      </c>
      <c r="R43" s="6" t="s">
        <v>24</v>
      </c>
      <c r="S43" s="36">
        <v>45.912999999942258</v>
      </c>
      <c r="T43" s="5">
        <v>755</v>
      </c>
      <c r="U43" s="6" t="s">
        <v>24</v>
      </c>
      <c r="V43" s="36">
        <v>585.55500000005122</v>
      </c>
      <c r="W43" s="8">
        <f t="shared" si="17"/>
        <v>539.64200000010896</v>
      </c>
      <c r="X43" s="9"/>
      <c r="Y43" s="8"/>
      <c r="Z43" s="8"/>
      <c r="AA43" s="186">
        <v>670.01688800005275</v>
      </c>
      <c r="AB43" s="8"/>
      <c r="AC43" s="10">
        <f t="shared" si="18"/>
        <v>670.01688800005275</v>
      </c>
    </row>
    <row r="44" spans="1:32" x14ac:dyDescent="0.25">
      <c r="A44" s="4" t="s">
        <v>101</v>
      </c>
      <c r="B44" s="5">
        <v>755</v>
      </c>
      <c r="C44" s="6" t="s">
        <v>24</v>
      </c>
      <c r="D44" s="36">
        <v>250</v>
      </c>
      <c r="E44" s="5">
        <v>755</v>
      </c>
      <c r="F44" s="6" t="s">
        <v>24</v>
      </c>
      <c r="G44" s="36">
        <v>250</v>
      </c>
      <c r="H44" s="8">
        <f t="shared" si="15"/>
        <v>0</v>
      </c>
      <c r="I44" s="9"/>
      <c r="J44" s="8"/>
      <c r="K44" s="8"/>
      <c r="L44" s="37">
        <v>192.73823199999998</v>
      </c>
      <c r="M44" s="8"/>
      <c r="N44" s="10">
        <f t="shared" si="16"/>
        <v>192.73823199999998</v>
      </c>
      <c r="P44" s="4" t="s">
        <v>101</v>
      </c>
      <c r="Q44" s="5">
        <v>755</v>
      </c>
      <c r="R44" s="6" t="s">
        <v>24</v>
      </c>
      <c r="S44" s="36">
        <v>250</v>
      </c>
      <c r="T44" s="5">
        <v>755</v>
      </c>
      <c r="U44" s="6" t="s">
        <v>24</v>
      </c>
      <c r="V44" s="36">
        <v>250</v>
      </c>
      <c r="W44" s="8">
        <f t="shared" si="17"/>
        <v>0</v>
      </c>
      <c r="X44" s="9"/>
      <c r="Y44" s="8"/>
      <c r="Z44" s="8"/>
      <c r="AA44" s="186">
        <v>192.73823199999998</v>
      </c>
      <c r="AB44" s="8"/>
      <c r="AC44" s="10">
        <f t="shared" si="18"/>
        <v>192.73823199999998</v>
      </c>
    </row>
    <row r="45" spans="1:32" x14ac:dyDescent="0.25">
      <c r="A45" s="4" t="s">
        <v>101</v>
      </c>
      <c r="B45" s="5">
        <v>755</v>
      </c>
      <c r="C45" s="6" t="s">
        <v>24</v>
      </c>
      <c r="D45" s="36">
        <v>250</v>
      </c>
      <c r="E45" s="5">
        <v>755</v>
      </c>
      <c r="F45" s="6" t="s">
        <v>24</v>
      </c>
      <c r="G45" s="36">
        <v>250</v>
      </c>
      <c r="H45" s="8">
        <f t="shared" si="15"/>
        <v>0</v>
      </c>
      <c r="I45" s="9"/>
      <c r="J45" s="8"/>
      <c r="K45" s="8"/>
      <c r="L45" s="37">
        <v>212.78939199999999</v>
      </c>
      <c r="M45" s="8"/>
      <c r="N45" s="10">
        <f t="shared" si="16"/>
        <v>212.78939199999999</v>
      </c>
      <c r="P45" s="4" t="s">
        <v>101</v>
      </c>
      <c r="Q45" s="5">
        <v>755</v>
      </c>
      <c r="R45" s="6" t="s">
        <v>24</v>
      </c>
      <c r="S45" s="36">
        <v>250</v>
      </c>
      <c r="T45" s="5">
        <v>755</v>
      </c>
      <c r="U45" s="6" t="s">
        <v>24</v>
      </c>
      <c r="V45" s="36">
        <v>250</v>
      </c>
      <c r="W45" s="8">
        <f t="shared" si="17"/>
        <v>0</v>
      </c>
      <c r="X45" s="9"/>
      <c r="Y45" s="8"/>
      <c r="Z45" s="8"/>
      <c r="AA45" s="186">
        <v>212.78939199999999</v>
      </c>
      <c r="AB45" s="8"/>
      <c r="AC45" s="10">
        <f t="shared" si="18"/>
        <v>212.78939199999999</v>
      </c>
    </row>
    <row r="46" spans="1:32" ht="15.75" thickBot="1" x14ac:dyDescent="0.3">
      <c r="A46" s="31" t="str">
        <f>"TOTAL- ACESSOS"</f>
        <v>TOTAL- ACESSOS</v>
      </c>
      <c r="B46" s="32"/>
      <c r="C46" s="32"/>
      <c r="D46" s="32"/>
      <c r="E46" s="32"/>
      <c r="F46" s="32"/>
      <c r="G46" s="32"/>
      <c r="H46" s="33"/>
      <c r="I46" s="34">
        <f t="shared" ref="I46:M46" si="19">SUM(I42:I45)</f>
        <v>0</v>
      </c>
      <c r="J46" s="34">
        <f t="shared" si="19"/>
        <v>0</v>
      </c>
      <c r="K46" s="34">
        <f t="shared" si="19"/>
        <v>0</v>
      </c>
      <c r="L46" s="34">
        <f>SUM(L40:L45)</f>
        <v>1344.4306400000658</v>
      </c>
      <c r="M46" s="34">
        <f t="shared" si="19"/>
        <v>0</v>
      </c>
      <c r="N46" s="34">
        <f>SUM(N40:N45)</f>
        <v>1344.4306400000658</v>
      </c>
      <c r="P46" s="31" t="str">
        <f>"TOTAL- ACESSOS"</f>
        <v>TOTAL- ACESSOS</v>
      </c>
      <c r="Q46" s="32"/>
      <c r="R46" s="32"/>
      <c r="S46" s="32"/>
      <c r="T46" s="32"/>
      <c r="U46" s="32"/>
      <c r="V46" s="32"/>
      <c r="W46" s="33"/>
      <c r="X46" s="34">
        <f t="shared" ref="X46:Z46" si="20">SUM(X42:X45)</f>
        <v>0</v>
      </c>
      <c r="Y46" s="34">
        <f t="shared" si="20"/>
        <v>0</v>
      </c>
      <c r="Z46" s="34">
        <f t="shared" si="20"/>
        <v>0</v>
      </c>
      <c r="AA46" s="34">
        <f>SUM(AA40:AA45)</f>
        <v>1344.4306400000658</v>
      </c>
      <c r="AB46" s="34">
        <f t="shared" ref="AB46" si="21">SUM(AB42:AB45)</f>
        <v>0</v>
      </c>
      <c r="AC46" s="34">
        <f>SUM(AC40:AC45)</f>
        <v>1344.4306400000658</v>
      </c>
    </row>
    <row r="47" spans="1:32" ht="15.75" thickBot="1" x14ac:dyDescent="0.3">
      <c r="A47" s="11" t="s">
        <v>102</v>
      </c>
      <c r="B47" s="12"/>
      <c r="C47" s="12"/>
      <c r="D47" s="12"/>
      <c r="E47" s="12"/>
      <c r="F47" s="12"/>
      <c r="G47" s="12"/>
      <c r="H47" s="12"/>
      <c r="I47" s="14">
        <f t="shared" ref="I47:M47" si="22">I24+I38</f>
        <v>0</v>
      </c>
      <c r="J47" s="14">
        <f t="shared" si="22"/>
        <v>0</v>
      </c>
      <c r="K47" s="14">
        <f t="shared" si="22"/>
        <v>79246.295754999985</v>
      </c>
      <c r="L47" s="14">
        <f t="shared" si="22"/>
        <v>8911.8227599999991</v>
      </c>
      <c r="M47" s="14">
        <f t="shared" si="22"/>
        <v>21028.791704999574</v>
      </c>
      <c r="N47" s="14">
        <f>N24+N38</f>
        <v>109186.91021999957</v>
      </c>
      <c r="P47" s="11" t="s">
        <v>102</v>
      </c>
      <c r="Q47" s="12"/>
      <c r="R47" s="12"/>
      <c r="S47" s="12"/>
      <c r="T47" s="12"/>
      <c r="U47" s="12"/>
      <c r="V47" s="12"/>
      <c r="W47" s="12"/>
      <c r="X47" s="13">
        <f t="shared" ref="X47:AB47" si="23">X24+X38</f>
        <v>0</v>
      </c>
      <c r="Y47" s="13">
        <f t="shared" si="23"/>
        <v>0</v>
      </c>
      <c r="Z47" s="13">
        <f t="shared" si="23"/>
        <v>73742.013200000001</v>
      </c>
      <c r="AA47" s="13">
        <f t="shared" si="23"/>
        <v>0</v>
      </c>
      <c r="AB47" s="13">
        <f t="shared" si="23"/>
        <v>23239.538125000003</v>
      </c>
      <c r="AC47" s="13">
        <f>AC24+AC38</f>
        <v>96981.551325000008</v>
      </c>
    </row>
    <row r="49" spans="13:13" x14ac:dyDescent="0.25">
      <c r="M49">
        <f>245+66+24+85+24</f>
        <v>444</v>
      </c>
    </row>
  </sheetData>
  <autoFilter ref="P1:AE47" xr:uid="{7D3006A6-1EF0-4C86-B725-10A349B93F3B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26">
    <mergeCell ref="A39:N39"/>
    <mergeCell ref="A6:N6"/>
    <mergeCell ref="A25:N25"/>
    <mergeCell ref="A1:N1"/>
    <mergeCell ref="B2:N2"/>
    <mergeCell ref="A3:A5"/>
    <mergeCell ref="B3:G4"/>
    <mergeCell ref="H3:H5"/>
    <mergeCell ref="I3:N3"/>
    <mergeCell ref="I4:J4"/>
    <mergeCell ref="K4:N4"/>
    <mergeCell ref="B5:D5"/>
    <mergeCell ref="E5:G5"/>
    <mergeCell ref="P6:AC6"/>
    <mergeCell ref="P25:AC25"/>
    <mergeCell ref="P39:AC39"/>
    <mergeCell ref="P1:AC1"/>
    <mergeCell ref="Q2:AC2"/>
    <mergeCell ref="P3:P5"/>
    <mergeCell ref="Q3:V4"/>
    <mergeCell ref="W3:W5"/>
    <mergeCell ref="X3:AC3"/>
    <mergeCell ref="X4:Y4"/>
    <mergeCell ref="Z4:AC4"/>
    <mergeCell ref="Q5:S5"/>
    <mergeCell ref="T5:V5"/>
  </mergeCells>
  <phoneticPr fontId="11" type="noConversion"/>
  <pageMargins left="0.511811024" right="0.511811024" top="0.78740157499999996" bottom="0.78740157499999996" header="0.31496062000000002" footer="0.31496062000000002"/>
  <pageSetup paperSize="8" scale="99" orientation="landscape" r:id="rId1"/>
  <ignoredErrors>
    <ignoredError sqref="L4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7FD44-7F2E-4C7D-89F4-65F390852B12}">
  <dimension ref="A1:O32"/>
  <sheetViews>
    <sheetView tabSelected="1" topLeftCell="B1" workbookViewId="0">
      <selection activeCell="M21" sqref="M21"/>
    </sheetView>
  </sheetViews>
  <sheetFormatPr defaultRowHeight="15" x14ac:dyDescent="0.25"/>
  <cols>
    <col min="1" max="1" width="32.85546875" customWidth="1"/>
    <col min="3" max="3" width="2.42578125" customWidth="1"/>
    <col min="5" max="5" width="6.5703125" customWidth="1"/>
    <col min="6" max="6" width="3.28515625" customWidth="1"/>
    <col min="8" max="8" width="15.42578125" customWidth="1"/>
    <col min="9" max="9" width="19.5703125" customWidth="1"/>
    <col min="11" max="11" width="35.28515625" customWidth="1"/>
    <col min="12" max="12" width="20.5703125" bestFit="1" customWidth="1"/>
    <col min="13" max="13" width="12.5703125" bestFit="1" customWidth="1"/>
    <col min="14" max="14" width="14.5703125" bestFit="1" customWidth="1"/>
    <col min="15" max="15" width="15.7109375" bestFit="1" customWidth="1"/>
    <col min="16" max="16" width="1.7109375" customWidth="1"/>
    <col min="17" max="17" width="34.85546875" bestFit="1" customWidth="1"/>
    <col min="18" max="18" width="14.28515625" bestFit="1" customWidth="1"/>
    <col min="19" max="19" width="8.28515625" bestFit="1" customWidth="1"/>
    <col min="20" max="20" width="13.85546875" bestFit="1" customWidth="1"/>
    <col min="21" max="21" width="6.5703125" bestFit="1" customWidth="1"/>
    <col min="22" max="22" width="7.28515625" bestFit="1" customWidth="1"/>
    <col min="23" max="23" width="6.5703125" bestFit="1" customWidth="1"/>
  </cols>
  <sheetData>
    <row r="1" spans="1:15" x14ac:dyDescent="0.25">
      <c r="A1" s="209" t="s">
        <v>4</v>
      </c>
      <c r="B1" s="211" t="s">
        <v>5</v>
      </c>
      <c r="C1" s="211"/>
      <c r="D1" s="211"/>
      <c r="E1" s="211"/>
      <c r="F1" s="211"/>
      <c r="G1" s="211"/>
      <c r="H1" s="213" t="s">
        <v>6</v>
      </c>
      <c r="I1" s="207" t="s">
        <v>103</v>
      </c>
    </row>
    <row r="2" spans="1:15" x14ac:dyDescent="0.25">
      <c r="A2" s="210"/>
      <c r="B2" s="212"/>
      <c r="C2" s="212"/>
      <c r="D2" s="212"/>
      <c r="E2" s="212"/>
      <c r="F2" s="212"/>
      <c r="G2" s="212"/>
      <c r="H2" s="214"/>
      <c r="I2" s="208"/>
    </row>
    <row r="3" spans="1:15" ht="42.75" x14ac:dyDescent="0.25">
      <c r="A3" s="210"/>
      <c r="B3" s="212" t="s">
        <v>13</v>
      </c>
      <c r="C3" s="212"/>
      <c r="D3" s="212"/>
      <c r="E3" s="212" t="s">
        <v>14</v>
      </c>
      <c r="F3" s="212"/>
      <c r="G3" s="212"/>
      <c r="H3" s="214"/>
      <c r="I3" s="115" t="s">
        <v>12</v>
      </c>
      <c r="L3" s="203" t="s">
        <v>104</v>
      </c>
      <c r="M3" s="203"/>
      <c r="N3" s="203"/>
      <c r="O3" s="203"/>
    </row>
    <row r="4" spans="1:15" x14ac:dyDescent="0.25">
      <c r="A4" s="204" t="s">
        <v>22</v>
      </c>
      <c r="B4" s="205"/>
      <c r="C4" s="205"/>
      <c r="D4" s="205"/>
      <c r="E4" s="205"/>
      <c r="F4" s="205"/>
      <c r="G4" s="205"/>
      <c r="H4" s="205"/>
      <c r="I4" s="206"/>
      <c r="L4" s="154" t="s">
        <v>105</v>
      </c>
      <c r="M4" s="154" t="s">
        <v>106</v>
      </c>
      <c r="N4" s="154" t="s">
        <v>107</v>
      </c>
      <c r="O4" s="154" t="s">
        <v>108</v>
      </c>
    </row>
    <row r="5" spans="1:15" x14ac:dyDescent="0.25">
      <c r="A5" s="119" t="s">
        <v>23</v>
      </c>
      <c r="B5" s="106">
        <v>701</v>
      </c>
      <c r="C5" s="106" t="s">
        <v>24</v>
      </c>
      <c r="D5" s="107">
        <v>0</v>
      </c>
      <c r="E5" s="106">
        <v>713</v>
      </c>
      <c r="F5" s="106" t="s">
        <v>24</v>
      </c>
      <c r="G5" s="107">
        <v>500</v>
      </c>
      <c r="H5" s="108">
        <f t="shared" ref="H5:H7" si="0">(E5*1000+G5)-(B5*1000+D5)</f>
        <v>12500</v>
      </c>
      <c r="I5" s="116">
        <f>'SEGMENTO-01'!S29</f>
        <v>28775.100000000002</v>
      </c>
      <c r="L5" s="154" t="s">
        <v>109</v>
      </c>
      <c r="M5" s="202">
        <f>'SEGMENTO-01'!M29</f>
        <v>114134.81021557681</v>
      </c>
      <c r="N5" s="202">
        <f>M5-O5</f>
        <v>85359.710215576808</v>
      </c>
      <c r="O5" s="202">
        <f>'SEGMENTO-01'!S29</f>
        <v>28775.100000000002</v>
      </c>
    </row>
    <row r="6" spans="1:15" x14ac:dyDescent="0.25">
      <c r="A6" s="120" t="s">
        <v>23</v>
      </c>
      <c r="B6" s="109">
        <v>732</v>
      </c>
      <c r="C6" s="109" t="s">
        <v>24</v>
      </c>
      <c r="D6" s="110">
        <v>0</v>
      </c>
      <c r="E6" s="109">
        <v>736</v>
      </c>
      <c r="F6" s="109" t="s">
        <v>24</v>
      </c>
      <c r="G6" s="110">
        <v>0</v>
      </c>
      <c r="H6" s="111">
        <f t="shared" si="0"/>
        <v>4000</v>
      </c>
      <c r="I6" s="117">
        <f>'SEGMENTO-02'!S15</f>
        <v>33420.799999999996</v>
      </c>
      <c r="L6" s="154" t="s">
        <v>110</v>
      </c>
      <c r="M6" s="202">
        <f>'SEGMENTO-02'!M15</f>
        <v>55817</v>
      </c>
      <c r="N6" s="202">
        <f t="shared" ref="N6:N11" si="1">M6-O6</f>
        <v>22396.200000000004</v>
      </c>
      <c r="O6" s="202">
        <f>'SEGMENTO-02'!S15</f>
        <v>33420.799999999996</v>
      </c>
    </row>
    <row r="7" spans="1:15" x14ac:dyDescent="0.25">
      <c r="A7" s="121" t="s">
        <v>23</v>
      </c>
      <c r="B7" s="112">
        <v>736</v>
      </c>
      <c r="C7" s="112" t="s">
        <v>24</v>
      </c>
      <c r="D7" s="113">
        <v>0</v>
      </c>
      <c r="E7" s="112">
        <v>745</v>
      </c>
      <c r="F7" s="112" t="s">
        <v>24</v>
      </c>
      <c r="G7" s="113">
        <v>500</v>
      </c>
      <c r="H7" s="114">
        <f t="shared" si="0"/>
        <v>9500</v>
      </c>
      <c r="I7" s="118">
        <f>'nv. greide SEGMENTO-03'!W18</f>
        <v>55262</v>
      </c>
      <c r="L7" s="154" t="s">
        <v>111</v>
      </c>
      <c r="M7" s="202">
        <f>'nv. greide SEGMENTO-03'!M18</f>
        <v>137431.1</v>
      </c>
      <c r="N7" s="202">
        <f t="shared" si="1"/>
        <v>86967</v>
      </c>
      <c r="O7" s="202">
        <f>'nv. greide SEGMENTO-03'!O18</f>
        <v>50464.100000000006</v>
      </c>
    </row>
    <row r="8" spans="1:15" ht="15.75" thickBot="1" x14ac:dyDescent="0.3">
      <c r="A8" s="122" t="s">
        <v>112</v>
      </c>
      <c r="B8" s="123"/>
      <c r="C8" s="123"/>
      <c r="D8" s="124"/>
      <c r="E8" s="123"/>
      <c r="F8" s="123"/>
      <c r="G8" s="124"/>
      <c r="H8" s="125"/>
      <c r="I8" s="126">
        <f>'INTERSEÇÃO - km 713+700'!P42</f>
        <v>50845.109999999993</v>
      </c>
      <c r="L8" s="154" t="s">
        <v>113</v>
      </c>
      <c r="M8" s="202">
        <f>'INTERSEÇÃO - km 713+700'!N24</f>
        <v>63575.101759999714</v>
      </c>
      <c r="N8" s="202">
        <f t="shared" si="1"/>
        <v>19003.391759999722</v>
      </c>
      <c r="O8" s="202">
        <f>'INTERSEÇÃO - km 713+700'!P24</f>
        <v>44571.709999999992</v>
      </c>
    </row>
    <row r="9" spans="1:15" ht="15.75" thickBot="1" x14ac:dyDescent="0.3">
      <c r="A9" s="127" t="s">
        <v>114</v>
      </c>
      <c r="B9" s="128"/>
      <c r="C9" s="128"/>
      <c r="D9" s="128"/>
      <c r="E9" s="128"/>
      <c r="F9" s="128"/>
      <c r="G9" s="128"/>
      <c r="H9" s="128"/>
      <c r="I9" s="129">
        <f>'INTERSEÇÃO - km 746+320'!AC47</f>
        <v>96981.551325000008</v>
      </c>
      <c r="L9" s="154" t="s">
        <v>115</v>
      </c>
      <c r="M9" s="202">
        <f>'INTERSEÇÃO - km 713+700'!N41</f>
        <v>23784.219169998461</v>
      </c>
      <c r="N9" s="202">
        <f t="shared" si="1"/>
        <v>17510.81916999846</v>
      </c>
      <c r="O9" s="202">
        <f>'INTERSEÇÃO - km 713+700'!P41</f>
        <v>6273.4</v>
      </c>
    </row>
    <row r="10" spans="1:15" x14ac:dyDescent="0.25">
      <c r="I10" s="94">
        <f>SUM(I5:I9)</f>
        <v>265284.56132500002</v>
      </c>
      <c r="L10" s="154" t="s">
        <v>116</v>
      </c>
      <c r="M10" s="202">
        <f>'INTERSEÇÃO - km 746+320'!AC24</f>
        <v>76446.17</v>
      </c>
      <c r="N10" s="202">
        <f>M10-O10</f>
        <v>0</v>
      </c>
      <c r="O10" s="202">
        <f>'INTERSEÇÃO - km 746+320'!AC24</f>
        <v>76446.17</v>
      </c>
    </row>
    <row r="11" spans="1:15" x14ac:dyDescent="0.25">
      <c r="I11" s="94"/>
      <c r="L11" s="154" t="s">
        <v>117</v>
      </c>
      <c r="M11" s="202">
        <f>'INTERSEÇÃO - km 746+320'!AC38</f>
        <v>20535.381325000002</v>
      </c>
      <c r="N11" s="202">
        <f t="shared" si="1"/>
        <v>0</v>
      </c>
      <c r="O11" s="202">
        <f>'INTERSEÇÃO - km 746+320'!AC38</f>
        <v>20535.381325000002</v>
      </c>
    </row>
    <row r="12" spans="1:15" x14ac:dyDescent="0.25">
      <c r="I12" s="94"/>
      <c r="L12" s="154" t="s">
        <v>118</v>
      </c>
      <c r="M12" s="202">
        <f>'INTERSEÇÃO - km 746+320'!AC46</f>
        <v>1344.4306400000658</v>
      </c>
      <c r="N12" s="202">
        <f>M12-O12</f>
        <v>0</v>
      </c>
      <c r="O12" s="202">
        <f>'INTERSEÇÃO - km 746+320'!AC46</f>
        <v>1344.4306400000658</v>
      </c>
    </row>
    <row r="13" spans="1:15" x14ac:dyDescent="0.25">
      <c r="I13" s="94"/>
      <c r="L13" s="154" t="s">
        <v>119</v>
      </c>
      <c r="M13" s="202">
        <f>'nv. greide SEGMENTO-03'!M24</f>
        <v>1329.9969000000001</v>
      </c>
      <c r="N13" s="202">
        <f>M13-O13</f>
        <v>0</v>
      </c>
      <c r="O13" s="202">
        <f>'nv. greide SEGMENTO-03'!O24</f>
        <v>1329.9969000000001</v>
      </c>
    </row>
    <row r="14" spans="1:15" x14ac:dyDescent="0.25">
      <c r="I14" s="94"/>
      <c r="L14" s="40"/>
      <c r="M14" s="40"/>
      <c r="N14" s="40"/>
      <c r="O14" s="40"/>
    </row>
    <row r="15" spans="1:15" x14ac:dyDescent="0.25">
      <c r="I15" s="94"/>
      <c r="L15" s="154" t="s">
        <v>105</v>
      </c>
      <c r="M15" s="154" t="s">
        <v>106</v>
      </c>
      <c r="N15" s="154" t="s">
        <v>107</v>
      </c>
      <c r="O15" s="154" t="s">
        <v>108</v>
      </c>
    </row>
    <row r="16" spans="1:15" x14ac:dyDescent="0.25">
      <c r="I16" s="94"/>
      <c r="L16" s="154" t="s">
        <v>120</v>
      </c>
      <c r="M16" s="202">
        <f>SUM(M5:M7)</f>
        <v>307382.91021557682</v>
      </c>
      <c r="N16" s="202">
        <f t="shared" ref="N16:O16" si="2">SUM(N5:N7)</f>
        <v>194722.91021557682</v>
      </c>
      <c r="O16" s="202">
        <f t="shared" si="2"/>
        <v>112660</v>
      </c>
    </row>
    <row r="17" spans="9:15" x14ac:dyDescent="0.25">
      <c r="I17" s="94"/>
      <c r="L17" s="154" t="s">
        <v>121</v>
      </c>
      <c r="M17" s="202">
        <f>SUM(M8:M9)</f>
        <v>87359.320929998183</v>
      </c>
      <c r="N17" s="202">
        <f t="shared" ref="N17:O17" si="3">SUM(N8:N9)</f>
        <v>36514.210929998182</v>
      </c>
      <c r="O17" s="202">
        <f t="shared" si="3"/>
        <v>50845.109999999993</v>
      </c>
    </row>
    <row r="18" spans="9:15" x14ac:dyDescent="0.25">
      <c r="L18" s="154" t="s">
        <v>122</v>
      </c>
      <c r="M18" s="202">
        <f>SUM(M10:M11)</f>
        <v>96981.551325000008</v>
      </c>
      <c r="N18" s="202">
        <f t="shared" ref="N18:O18" si="4">SUM(N10:N11)</f>
        <v>0</v>
      </c>
      <c r="O18" s="202">
        <f t="shared" si="4"/>
        <v>96981.551325000008</v>
      </c>
    </row>
    <row r="19" spans="9:15" x14ac:dyDescent="0.25">
      <c r="L19" s="154" t="s">
        <v>123</v>
      </c>
      <c r="M19" s="202">
        <f>SUM(M12:M13)</f>
        <v>2674.4275400000661</v>
      </c>
      <c r="N19" s="202">
        <f t="shared" ref="N19:O19" si="5">SUM(N12:N13)</f>
        <v>0</v>
      </c>
      <c r="O19" s="202">
        <f t="shared" si="5"/>
        <v>2674.4275400000661</v>
      </c>
    </row>
    <row r="20" spans="9:15" x14ac:dyDescent="0.25">
      <c r="L20" s="154" t="s">
        <v>124</v>
      </c>
      <c r="M20" s="202">
        <f>SUM(M16:M19)</f>
        <v>494398.21001057507</v>
      </c>
      <c r="N20" s="202">
        <f t="shared" ref="N20:O20" si="6">SUM(N16:N19)</f>
        <v>231237.12114557502</v>
      </c>
      <c r="O20" s="202">
        <f t="shared" si="6"/>
        <v>263161.08886500006</v>
      </c>
    </row>
    <row r="25" spans="9:15" x14ac:dyDescent="0.25">
      <c r="K25" s="177" t="s">
        <v>125</v>
      </c>
      <c r="L25" s="177" t="s">
        <v>126</v>
      </c>
    </row>
    <row r="26" spans="9:15" x14ac:dyDescent="0.25">
      <c r="K26" t="str">
        <f>"Seg-01: "&amp;B5&amp;"+"&amp;TEXT(D5,"000")&amp;" ao "&amp;E5&amp;"+"&amp;TEXT(G5,"000")</f>
        <v>Seg-01: 701+000 ao 713+500</v>
      </c>
      <c r="L26" s="178">
        <f>I5</f>
        <v>28775.100000000002</v>
      </c>
    </row>
    <row r="27" spans="9:15" x14ac:dyDescent="0.25">
      <c r="K27" t="str">
        <f>"Seg-02 Sul: "&amp;'SEGMENTO-02'!U7&amp;"+"&amp;TEXT('SEGMENTO-02'!W7,"000")&amp;" ao "&amp;'SEGMENTO-02'!X11&amp;"+"&amp;TEXT('SEGMENTO-02'!Z11,"000")</f>
        <v>Seg-02 Sul: 732+000 ao 736+380</v>
      </c>
      <c r="L27" s="178">
        <f>'SEGMENTO-02'!AA12</f>
        <v>10595.9</v>
      </c>
      <c r="M27" s="178">
        <f>L27+L28</f>
        <v>33420.800000000003</v>
      </c>
    </row>
    <row r="28" spans="9:15" x14ac:dyDescent="0.25">
      <c r="K28" t="str">
        <f>"Seg-02 Norte: "&amp;'SEGMENTO-02'!U16&amp;"+"&amp;TEXT('SEGMENTO-02'!W16,"000")&amp;" ao "&amp;'SEGMENTO-02'!X18&amp;"+"&amp;TEXT('SEGMENTO-02'!Z18,"000")</f>
        <v>Seg-02 Norte: 732+000 ao 734+220</v>
      </c>
      <c r="L28" s="178">
        <f>'SEGMENTO-02'!AA19</f>
        <v>22824.9</v>
      </c>
    </row>
    <row r="29" spans="9:15" x14ac:dyDescent="0.25">
      <c r="K29" t="str">
        <f>"Seg-03: "&amp;B7&amp;"+"&amp;TEXT(D7,"000")&amp;" ao "&amp;E7&amp;"+"&amp;TEXT(G7,"000")</f>
        <v>Seg-03: 736+000 ao 745+500</v>
      </c>
      <c r="L29" s="178">
        <f>I7</f>
        <v>55262</v>
      </c>
      <c r="M29" s="178">
        <v>62270.96</v>
      </c>
    </row>
    <row r="30" spans="9:15" x14ac:dyDescent="0.25">
      <c r="K30" t="str">
        <f>A8</f>
        <v>INTERSEÇÃO - km 713+700 PRIMAVERA</v>
      </c>
      <c r="L30" s="178">
        <f>I8</f>
        <v>50845.109999999993</v>
      </c>
      <c r="M30" s="178">
        <v>49469.19999999999</v>
      </c>
    </row>
    <row r="31" spans="9:15" x14ac:dyDescent="0.25">
      <c r="K31" s="176" t="str">
        <f>A9</f>
        <v>INTERSEÇÃO - km 746+320 SORRISO</v>
      </c>
      <c r="L31" s="179">
        <f>I9</f>
        <v>96981.551325000008</v>
      </c>
    </row>
    <row r="32" spans="9:15" x14ac:dyDescent="0.25">
      <c r="K32" s="176" t="s">
        <v>127</v>
      </c>
      <c r="L32" s="179">
        <f>SUM(L26:L31)</f>
        <v>265284.56132500002</v>
      </c>
    </row>
  </sheetData>
  <mergeCells count="8">
    <mergeCell ref="L3:O3"/>
    <mergeCell ref="A4:I4"/>
    <mergeCell ref="I1:I2"/>
    <mergeCell ref="A1:A3"/>
    <mergeCell ref="B1:G2"/>
    <mergeCell ref="H1:H3"/>
    <mergeCell ref="B3:D3"/>
    <mergeCell ref="E3:G3"/>
  </mergeCell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SEGMENTO-01</vt:lpstr>
      <vt:lpstr>SEGMENTO-02</vt:lpstr>
      <vt:lpstr>nv. greide SEGMENTO-03</vt:lpstr>
      <vt:lpstr>INTERSEÇÃO - km 713+700</vt:lpstr>
      <vt:lpstr>INTERSEÇÃO - km 746+320</vt:lpstr>
      <vt:lpstr>RESUMO DE VOLUMES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Luciana Aparecida Fioramonte Vilas Boas</cp:lastModifiedBy>
  <cp:revision/>
  <dcterms:created xsi:type="dcterms:W3CDTF">2026-02-25T15:09:39Z</dcterms:created>
  <dcterms:modified xsi:type="dcterms:W3CDTF">2026-08-17T19:40:06Z</dcterms:modified>
  <cp:category/>
  <cp:contentStatus/>
</cp:coreProperties>
</file>